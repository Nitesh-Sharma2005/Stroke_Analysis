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xl/webextensions/webextension6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tin sharma\Downloads\Excel MIS\"/>
    </mc:Choice>
  </mc:AlternateContent>
  <xr:revisionPtr revIDLastSave="0" documentId="13_ncr:1_{7BA571E2-0FD9-42D5-A9D6-BFC281BC2F21}" xr6:coauthVersionLast="47" xr6:coauthVersionMax="47" xr10:uidLastSave="{00000000-0000-0000-0000-000000000000}"/>
  <bookViews>
    <workbookView xWindow="-120" yWindow="-120" windowWidth="20730" windowHeight="11040" activeTab="2" xr2:uid="{D33900EC-9428-4F49-B52B-711D05F38D2A}"/>
  </bookViews>
  <sheets>
    <sheet name="Medical History" sheetId="2" r:id="rId1"/>
    <sheet name="Dashboard Data" sheetId="6" r:id="rId2"/>
    <sheet name="Dashboard" sheetId="7" r:id="rId3"/>
    <sheet name="Patient Lookup" sheetId="9" r:id="rId4"/>
  </sheets>
  <definedNames>
    <definedName name="ExternalData_1" localSheetId="0" hidden="1">'Medical History'!$A$1:$X$97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9" l="1"/>
  <c r="A3" i="9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87" i="9"/>
  <c r="A88" i="9"/>
  <c r="A89" i="9"/>
  <c r="A90" i="9"/>
  <c r="A91" i="9"/>
  <c r="A92" i="9"/>
  <c r="A93" i="9"/>
  <c r="A94" i="9"/>
  <c r="A95" i="9"/>
  <c r="A96" i="9"/>
  <c r="A97" i="9"/>
  <c r="M39" i="6" a="1"/>
  <c r="M39" i="6" s="1"/>
  <c r="L39" i="6" a="1"/>
  <c r="L39" i="6" s="1"/>
  <c r="M38" i="6" a="1"/>
  <c r="M38" i="6" s="1"/>
  <c r="L38" i="6" a="1"/>
  <c r="L38" i="6" s="1"/>
  <c r="M34" i="6" a="1"/>
  <c r="M34" i="6" s="1"/>
  <c r="L34" i="6" a="1"/>
  <c r="L34" i="6" s="1"/>
  <c r="M33" i="6" a="1"/>
  <c r="M33" i="6" s="1"/>
  <c r="L33" i="6" a="1"/>
  <c r="L33" i="6" s="1"/>
  <c r="M32" i="6" a="1"/>
  <c r="M32" i="6" s="1"/>
  <c r="L32" i="6" a="1"/>
  <c r="L32" i="6" s="1"/>
  <c r="M31" i="6" a="1"/>
  <c r="M31" i="6" s="1"/>
  <c r="L31" i="6" a="1"/>
  <c r="L31" i="6" s="1"/>
  <c r="J18" i="6" a="1"/>
  <c r="J18" i="6" s="1"/>
  <c r="I18" i="6" a="1"/>
  <c r="I18" i="6" s="1"/>
  <c r="J17" i="6" a="1"/>
  <c r="J17" i="6" s="1"/>
  <c r="I17" i="6" a="1"/>
  <c r="I17" i="6" s="1"/>
  <c r="F19" i="6" a="1"/>
  <c r="F19" i="6" s="1"/>
  <c r="E19" i="6" a="1"/>
  <c r="E19" i="6" s="1"/>
  <c r="F18" i="6" a="1"/>
  <c r="F18" i="6" s="1"/>
  <c r="E18" i="6" a="1"/>
  <c r="E18" i="6" s="1"/>
  <c r="F17" i="6" a="1"/>
  <c r="F17" i="6" s="1"/>
  <c r="E17" i="6" a="1"/>
  <c r="E17" i="6" s="1"/>
  <c r="J12" i="6" a="1"/>
  <c r="J12" i="6" s="1"/>
  <c r="I12" i="6" a="1"/>
  <c r="I12" i="6" s="1"/>
  <c r="J11" i="6" a="1"/>
  <c r="J11" i="6" s="1"/>
  <c r="I11" i="6" a="1"/>
  <c r="I11" i="6" s="1"/>
  <c r="B5" i="6" a="1"/>
  <c r="B5" i="6" s="1"/>
  <c r="B3" i="6" a="1"/>
  <c r="B3" i="6" s="1"/>
  <c r="B2" i="6" a="1"/>
  <c r="B2" i="6" s="1"/>
  <c r="B4" i="6" s="1" a="1"/>
  <c r="B4" i="6" s="1"/>
  <c r="AF2" i="2"/>
  <c r="AF3" i="2"/>
  <c r="AF4" i="2"/>
  <c r="AF5" i="2"/>
  <c r="AF6" i="2"/>
  <c r="AF7" i="2"/>
  <c r="AF8" i="2"/>
  <c r="AF9" i="2"/>
  <c r="AF10" i="2"/>
  <c r="AF11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61" i="2"/>
  <c r="AF62" i="2"/>
  <c r="AF63" i="2"/>
  <c r="AF64" i="2"/>
  <c r="AF65" i="2"/>
  <c r="AF66" i="2"/>
  <c r="AF67" i="2"/>
  <c r="AF68" i="2"/>
  <c r="AF69" i="2"/>
  <c r="AF70" i="2"/>
  <c r="AF71" i="2"/>
  <c r="AF72" i="2"/>
  <c r="AF73" i="2"/>
  <c r="AF74" i="2"/>
  <c r="AF75" i="2"/>
  <c r="AF76" i="2"/>
  <c r="AF77" i="2"/>
  <c r="AF78" i="2"/>
  <c r="AF79" i="2"/>
  <c r="AF80" i="2"/>
  <c r="AF81" i="2"/>
  <c r="AF82" i="2"/>
  <c r="AF83" i="2"/>
  <c r="AF84" i="2"/>
  <c r="AF85" i="2"/>
  <c r="AF86" i="2"/>
  <c r="AF87" i="2"/>
  <c r="AF88" i="2"/>
  <c r="AF89" i="2"/>
  <c r="AF90" i="2"/>
  <c r="AF91" i="2"/>
  <c r="AF92" i="2"/>
  <c r="AF93" i="2"/>
  <c r="AF94" i="2"/>
  <c r="AF95" i="2"/>
  <c r="AF96" i="2"/>
  <c r="AF97" i="2"/>
  <c r="AE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34" i="2"/>
  <c r="AE35" i="2"/>
  <c r="AE36" i="2"/>
  <c r="AE37" i="2"/>
  <c r="AE38" i="2"/>
  <c r="AE39" i="2"/>
  <c r="AE40" i="2"/>
  <c r="AE41" i="2"/>
  <c r="AE42" i="2"/>
  <c r="AE43" i="2"/>
  <c r="AE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64" i="2"/>
  <c r="AE65" i="2"/>
  <c r="AE66" i="2"/>
  <c r="AE67" i="2"/>
  <c r="AE68" i="2"/>
  <c r="AE69" i="2"/>
  <c r="AE70" i="2"/>
  <c r="AE71" i="2"/>
  <c r="AE72" i="2"/>
  <c r="AE73" i="2"/>
  <c r="AE74" i="2"/>
  <c r="AE75" i="2"/>
  <c r="AE76" i="2"/>
  <c r="AE77" i="2"/>
  <c r="AE78" i="2"/>
  <c r="AE79" i="2"/>
  <c r="AE80" i="2"/>
  <c r="AE81" i="2"/>
  <c r="AE82" i="2"/>
  <c r="AE83" i="2"/>
  <c r="AE84" i="2"/>
  <c r="AE85" i="2"/>
  <c r="AE86" i="2"/>
  <c r="AE87" i="2"/>
  <c r="AE88" i="2"/>
  <c r="AE89" i="2"/>
  <c r="AE90" i="2"/>
  <c r="AE91" i="2"/>
  <c r="AE92" i="2"/>
  <c r="AE93" i="2"/>
  <c r="AE94" i="2"/>
  <c r="AE95" i="2"/>
  <c r="AE96" i="2"/>
  <c r="AE97" i="2"/>
  <c r="AD2" i="2"/>
  <c r="AD3" i="2"/>
  <c r="AD4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21" i="2"/>
  <c r="AD22" i="2"/>
  <c r="AD23" i="2"/>
  <c r="AD24" i="2"/>
  <c r="AD25" i="2"/>
  <c r="AD26" i="2"/>
  <c r="AD27" i="2"/>
  <c r="AD28" i="2"/>
  <c r="AD29" i="2"/>
  <c r="AD30" i="2"/>
  <c r="AD31" i="2"/>
  <c r="AD32" i="2"/>
  <c r="AD33" i="2"/>
  <c r="AD34" i="2"/>
  <c r="AD35" i="2"/>
  <c r="AD36" i="2"/>
  <c r="AD37" i="2"/>
  <c r="AD38" i="2"/>
  <c r="AD39" i="2"/>
  <c r="AD40" i="2"/>
  <c r="AD41" i="2"/>
  <c r="AD42" i="2"/>
  <c r="AD43" i="2"/>
  <c r="AD44" i="2"/>
  <c r="AD45" i="2"/>
  <c r="AD46" i="2"/>
  <c r="AD47" i="2"/>
  <c r="AD48" i="2"/>
  <c r="AD49" i="2"/>
  <c r="AD50" i="2"/>
  <c r="AD51" i="2"/>
  <c r="AD52" i="2"/>
  <c r="AD53" i="2"/>
  <c r="AD54" i="2"/>
  <c r="AD55" i="2"/>
  <c r="AD56" i="2"/>
  <c r="AD57" i="2"/>
  <c r="AD58" i="2"/>
  <c r="AD59" i="2"/>
  <c r="AD60" i="2"/>
  <c r="AD61" i="2"/>
  <c r="AD62" i="2"/>
  <c r="AD63" i="2"/>
  <c r="AD64" i="2"/>
  <c r="AD65" i="2"/>
  <c r="AD66" i="2"/>
  <c r="AD67" i="2"/>
  <c r="AD68" i="2"/>
  <c r="AD69" i="2"/>
  <c r="AD70" i="2"/>
  <c r="AD71" i="2"/>
  <c r="AD72" i="2"/>
  <c r="AD73" i="2"/>
  <c r="AD74" i="2"/>
  <c r="AD75" i="2"/>
  <c r="AD76" i="2"/>
  <c r="AD77" i="2"/>
  <c r="AD78" i="2"/>
  <c r="AD79" i="2"/>
  <c r="AD80" i="2"/>
  <c r="AD81" i="2"/>
  <c r="AD82" i="2"/>
  <c r="AD83" i="2"/>
  <c r="AD84" i="2"/>
  <c r="AD85" i="2"/>
  <c r="AD86" i="2"/>
  <c r="AD87" i="2"/>
  <c r="AD88" i="2"/>
  <c r="AD89" i="2"/>
  <c r="AD90" i="2"/>
  <c r="AD91" i="2"/>
  <c r="AD92" i="2"/>
  <c r="AD93" i="2"/>
  <c r="AD94" i="2"/>
  <c r="AD95" i="2"/>
  <c r="AD96" i="2"/>
  <c r="AD97" i="2"/>
  <c r="AC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34" i="2"/>
  <c r="AC35" i="2"/>
  <c r="AC36" i="2"/>
  <c r="AC37" i="2"/>
  <c r="AC38" i="2"/>
  <c r="AC39" i="2"/>
  <c r="AC40" i="2"/>
  <c r="AC41" i="2"/>
  <c r="AC42" i="2"/>
  <c r="AC43" i="2"/>
  <c r="AC44" i="2"/>
  <c r="AC45" i="2"/>
  <c r="AC46" i="2"/>
  <c r="AC47" i="2"/>
  <c r="AC48" i="2"/>
  <c r="AC49" i="2"/>
  <c r="AC50" i="2"/>
  <c r="AC51" i="2"/>
  <c r="AC52" i="2"/>
  <c r="AC53" i="2"/>
  <c r="AC54" i="2"/>
  <c r="AC55" i="2"/>
  <c r="AC56" i="2"/>
  <c r="AC57" i="2"/>
  <c r="AC58" i="2"/>
  <c r="AC59" i="2"/>
  <c r="AC60" i="2"/>
  <c r="AC61" i="2"/>
  <c r="AC62" i="2"/>
  <c r="AC63" i="2"/>
  <c r="AC64" i="2"/>
  <c r="AC65" i="2"/>
  <c r="AC66" i="2"/>
  <c r="AC67" i="2"/>
  <c r="AC68" i="2"/>
  <c r="AC69" i="2"/>
  <c r="AC70" i="2"/>
  <c r="AC71" i="2"/>
  <c r="AC72" i="2"/>
  <c r="AC73" i="2"/>
  <c r="AC74" i="2"/>
  <c r="AC75" i="2"/>
  <c r="AC76" i="2"/>
  <c r="AC77" i="2"/>
  <c r="AC78" i="2"/>
  <c r="AC79" i="2"/>
  <c r="AC80" i="2"/>
  <c r="AC81" i="2"/>
  <c r="AC82" i="2"/>
  <c r="AC83" i="2"/>
  <c r="AC84" i="2"/>
  <c r="AC85" i="2"/>
  <c r="AC86" i="2"/>
  <c r="AC87" i="2"/>
  <c r="AC88" i="2"/>
  <c r="AC89" i="2"/>
  <c r="AC90" i="2"/>
  <c r="AC91" i="2"/>
  <c r="AC92" i="2"/>
  <c r="AC93" i="2"/>
  <c r="AC94" i="2"/>
  <c r="AC95" i="2"/>
  <c r="AC96" i="2"/>
  <c r="AC9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38" i="2"/>
  <c r="AB39" i="2"/>
  <c r="AB40" i="2"/>
  <c r="AB41" i="2"/>
  <c r="AB42" i="2"/>
  <c r="AB43" i="2"/>
  <c r="AB44" i="2"/>
  <c r="AB45" i="2"/>
  <c r="AB46" i="2"/>
  <c r="AB47" i="2"/>
  <c r="AB48" i="2"/>
  <c r="AB49" i="2"/>
  <c r="AB50" i="2"/>
  <c r="AB51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/>
  <c r="AB69" i="2"/>
  <c r="AB70" i="2"/>
  <c r="AB71" i="2"/>
  <c r="AB72" i="2"/>
  <c r="AB73" i="2"/>
  <c r="AB74" i="2"/>
  <c r="AB75" i="2"/>
  <c r="AB76" i="2"/>
  <c r="AB77" i="2"/>
  <c r="AB78" i="2"/>
  <c r="AB79" i="2"/>
  <c r="AB80" i="2"/>
  <c r="AB81" i="2"/>
  <c r="AB82" i="2"/>
  <c r="AB83" i="2"/>
  <c r="AB84" i="2"/>
  <c r="AB85" i="2"/>
  <c r="AB86" i="2"/>
  <c r="AB87" i="2"/>
  <c r="AB88" i="2"/>
  <c r="AB89" i="2"/>
  <c r="AB90" i="2"/>
  <c r="AB91" i="2"/>
  <c r="AB92" i="2"/>
  <c r="AB93" i="2"/>
  <c r="AB94" i="2"/>
  <c r="AB95" i="2"/>
  <c r="AB96" i="2"/>
  <c r="AB9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38" i="2"/>
  <c r="Z39" i="2"/>
  <c r="Z40" i="2"/>
  <c r="Z41" i="2"/>
  <c r="Z42" i="2"/>
  <c r="Z43" i="2"/>
  <c r="Z44" i="2"/>
  <c r="Z45" i="2"/>
  <c r="Z46" i="2"/>
  <c r="Z47" i="2"/>
  <c r="Z48" i="2"/>
  <c r="Z49" i="2"/>
  <c r="Z50" i="2"/>
  <c r="Z51" i="2"/>
  <c r="Z52" i="2"/>
  <c r="Z53" i="2"/>
  <c r="Z54" i="2"/>
  <c r="Z55" i="2"/>
  <c r="Z56" i="2"/>
  <c r="Z57" i="2"/>
  <c r="Z58" i="2"/>
  <c r="Z59" i="2"/>
  <c r="Z60" i="2"/>
  <c r="Z61" i="2"/>
  <c r="Z62" i="2"/>
  <c r="Z63" i="2"/>
  <c r="Z64" i="2"/>
  <c r="Z65" i="2"/>
  <c r="Z66" i="2"/>
  <c r="Z67" i="2"/>
  <c r="Z68" i="2"/>
  <c r="Z69" i="2"/>
  <c r="Z70" i="2"/>
  <c r="Z71" i="2"/>
  <c r="Z72" i="2"/>
  <c r="Z73" i="2"/>
  <c r="Z74" i="2"/>
  <c r="Z75" i="2"/>
  <c r="Z76" i="2"/>
  <c r="Z77" i="2"/>
  <c r="Z78" i="2"/>
  <c r="Z79" i="2"/>
  <c r="Z80" i="2"/>
  <c r="Z81" i="2"/>
  <c r="Z82" i="2"/>
  <c r="Z83" i="2"/>
  <c r="Z84" i="2"/>
  <c r="Z85" i="2"/>
  <c r="Z86" i="2"/>
  <c r="Z87" i="2"/>
  <c r="Z88" i="2"/>
  <c r="Z89" i="2"/>
  <c r="Z90" i="2"/>
  <c r="Z91" i="2"/>
  <c r="Z92" i="2"/>
  <c r="Z93" i="2"/>
  <c r="Z94" i="2"/>
  <c r="Z95" i="2"/>
  <c r="Z96" i="2"/>
  <c r="Z97" i="2"/>
  <c r="Y2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E13" i="6" l="1" a="1"/>
  <c r="E13" i="6" s="1"/>
  <c r="E12" i="6" a="1"/>
  <c r="E12" i="6" s="1"/>
  <c r="C29" i="6" a="1"/>
  <c r="C29" i="6" s="1"/>
  <c r="C31" i="6" a="1"/>
  <c r="C31" i="6" s="1"/>
  <c r="M18" i="6" a="1"/>
  <c r="M18" i="6" s="1"/>
  <c r="F12" i="6" a="1"/>
  <c r="F12" i="6" s="1"/>
  <c r="D29" i="6" a="1"/>
  <c r="D29" i="6" s="1"/>
  <c r="D31" i="6" a="1"/>
  <c r="D31" i="6" s="1"/>
  <c r="N18" i="6" a="1"/>
  <c r="N18" i="6" s="1"/>
  <c r="C24" i="6" a="1"/>
  <c r="C24" i="6" s="1"/>
  <c r="M17" i="6" a="1"/>
  <c r="M17" i="6" s="1"/>
  <c r="B23" i="6" a="1"/>
  <c r="B23" i="6" s="1"/>
  <c r="C28" i="6" a="1"/>
  <c r="C28" i="6" s="1"/>
  <c r="C30" i="6" a="1"/>
  <c r="C30" i="6" s="1"/>
  <c r="E11" i="6" a="1"/>
  <c r="E11" i="6" s="1"/>
  <c r="B6" i="6" s="1"/>
  <c r="F11" i="6" a="1"/>
  <c r="F11" i="6" s="1"/>
  <c r="F13" i="6" a="1"/>
  <c r="F13" i="6" s="1"/>
  <c r="N17" i="6" a="1"/>
  <c r="N17" i="6" s="1"/>
  <c r="C23" i="6" a="1"/>
  <c r="C23" i="6" s="1"/>
  <c r="D28" i="6" a="1"/>
  <c r="D28" i="6" s="1"/>
  <c r="D30" i="6" a="1"/>
  <c r="D30" i="6" s="1"/>
  <c r="B24" i="6" a="1"/>
  <c r="B24" i="6" s="1"/>
  <c r="B7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9772AD9-1EC4-45C7-A9FC-0BCB65952D0B}" keepAlive="1" name="Query - Medical History" description="Connection to the 'Medical History' query in the workbook." type="5" refreshedVersion="8" background="1" saveData="1">
    <dbPr connection="Provider=Microsoft.Mashup.OleDb.1;Data Source=$Workbook$;Location=&quot;Medical History&quot;;Extended Properties=&quot;&quot;" command="SELECT * FROM [Medical History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<sst xmlns="http://schemas.openxmlformats.org/spreadsheetml/2006/main" count="1195" uniqueCount="230">
  <si>
    <t>ID</t>
  </si>
  <si>
    <t>Data collection date</t>
  </si>
  <si>
    <t>Age</t>
  </si>
  <si>
    <t>Gender</t>
  </si>
  <si>
    <t>Hypertension</t>
  </si>
  <si>
    <t>Heart Disease</t>
  </si>
  <si>
    <t>Ever Married</t>
  </si>
  <si>
    <t>Work Type</t>
  </si>
  <si>
    <t>Residence Type</t>
  </si>
  <si>
    <t>Average Glucose Level</t>
  </si>
  <si>
    <t>BMI</t>
  </si>
  <si>
    <t>Smoking Status</t>
  </si>
  <si>
    <t>Physical Activity</t>
  </si>
  <si>
    <t>Dietary Habits</t>
  </si>
  <si>
    <t>Alcohol Consumption</t>
  </si>
  <si>
    <t>Chronic Stress</t>
  </si>
  <si>
    <t>Sleep Hours</t>
  </si>
  <si>
    <t>Family History of Stroke</t>
  </si>
  <si>
    <t>Education Level</t>
  </si>
  <si>
    <t>Income Level</t>
  </si>
  <si>
    <t>Stroke Risk Score</t>
  </si>
  <si>
    <t>Region</t>
  </si>
  <si>
    <t>Stroke Occurrence</t>
  </si>
  <si>
    <t>Female</t>
  </si>
  <si>
    <t>Private</t>
  </si>
  <si>
    <t>Rural</t>
  </si>
  <si>
    <t>Formerly smoked</t>
  </si>
  <si>
    <t>Sedentary</t>
  </si>
  <si>
    <t>Non-Vegetarian</t>
  </si>
  <si>
    <t>Tertiary</t>
  </si>
  <si>
    <t>Middle</t>
  </si>
  <si>
    <t>South</t>
  </si>
  <si>
    <t>Never smoked</t>
  </si>
  <si>
    <t>Light</t>
  </si>
  <si>
    <t>Vegetarian</t>
  </si>
  <si>
    <t>Secondary</t>
  </si>
  <si>
    <t>High</t>
  </si>
  <si>
    <t>East</t>
  </si>
  <si>
    <t>Male</t>
  </si>
  <si>
    <t>Urban</t>
  </si>
  <si>
    <t>Mixed</t>
  </si>
  <si>
    <t>North</t>
  </si>
  <si>
    <t>Never Worked</t>
  </si>
  <si>
    <t>Active</t>
  </si>
  <si>
    <t>Government</t>
  </si>
  <si>
    <t>West</t>
  </si>
  <si>
    <t>No education</t>
  </si>
  <si>
    <t>Low</t>
  </si>
  <si>
    <t>Children</t>
  </si>
  <si>
    <t>Primary</t>
  </si>
  <si>
    <t>Unknown</t>
  </si>
  <si>
    <t>Moderate</t>
  </si>
  <si>
    <t>Self-employed</t>
  </si>
  <si>
    <t>Other</t>
  </si>
  <si>
    <t>Smokes</t>
  </si>
  <si>
    <t>Name</t>
  </si>
  <si>
    <t>A Roy</t>
  </si>
  <si>
    <t>A Shenoy</t>
  </si>
  <si>
    <t>S Geloy</t>
  </si>
  <si>
    <t>G Messy</t>
  </si>
  <si>
    <t>B Bern</t>
  </si>
  <si>
    <t>S Bush</t>
  </si>
  <si>
    <t>W Bern</t>
  </si>
  <si>
    <t>N Jordan</t>
  </si>
  <si>
    <t>M Jordan</t>
  </si>
  <si>
    <t>A Sundar</t>
  </si>
  <si>
    <t>L Armstrong</t>
  </si>
  <si>
    <t>M Fritzler</t>
  </si>
  <si>
    <t>K Black</t>
  </si>
  <si>
    <t>J Bell-</t>
  </si>
  <si>
    <t>D Eno</t>
  </si>
  <si>
    <t>D percer</t>
  </si>
  <si>
    <t>R Collins</t>
  </si>
  <si>
    <t>W Brown</t>
  </si>
  <si>
    <t>B Eplett</t>
  </si>
  <si>
    <t>E Hoffmann</t>
  </si>
  <si>
    <t>C Clark</t>
  </si>
  <si>
    <t>D Lloyd</t>
  </si>
  <si>
    <t>T Dahlen</t>
  </si>
  <si>
    <t>P Gonzalez</t>
  </si>
  <si>
    <t>F Preis</t>
  </si>
  <si>
    <t>B Talbott</t>
  </si>
  <si>
    <t>T Braunhardt</t>
  </si>
  <si>
    <t>C Brittain</t>
  </si>
  <si>
    <t>C Bergmann</t>
  </si>
  <si>
    <t>H Goldwyn</t>
  </si>
  <si>
    <t>T Boyes</t>
  </si>
  <si>
    <t>J Doherty</t>
  </si>
  <si>
    <t>J Farry</t>
  </si>
  <si>
    <t>S Cartwright</t>
  </si>
  <si>
    <t>T Brockman</t>
  </si>
  <si>
    <t>H Engle</t>
  </si>
  <si>
    <t>D Flashing</t>
  </si>
  <si>
    <t>S A</t>
  </si>
  <si>
    <t>A Bixby</t>
  </si>
  <si>
    <t>J Klamczynski</t>
  </si>
  <si>
    <t>B Ferrer</t>
  </si>
  <si>
    <t>C Kinney</t>
  </si>
  <si>
    <t>S McNair</t>
  </si>
  <si>
    <t>A Barton</t>
  </si>
  <si>
    <t>S Engle</t>
  </si>
  <si>
    <t>N Staavos</t>
  </si>
  <si>
    <t>L Carlisle</t>
  </si>
  <si>
    <t>T Blumstein</t>
  </si>
  <si>
    <t>M Schnelling</t>
  </si>
  <si>
    <t>J Braxton</t>
  </si>
  <si>
    <t>P Prost</t>
  </si>
  <si>
    <t>A Zypern</t>
  </si>
  <si>
    <t>K Bern</t>
  </si>
  <si>
    <t>C Anderson</t>
  </si>
  <si>
    <t>B Elias</t>
  </si>
  <si>
    <t>C Hwang</t>
  </si>
  <si>
    <t>M Haberlin</t>
  </si>
  <si>
    <t>J Ritter</t>
  </si>
  <si>
    <t>P Breyer</t>
  </si>
  <si>
    <t>J Stevenson</t>
  </si>
  <si>
    <t>R DeVincentis</t>
  </si>
  <si>
    <t>D Kipp</t>
  </si>
  <si>
    <t>F McMath</t>
  </si>
  <si>
    <t>P Gardner</t>
  </si>
  <si>
    <t>E Ashbrook</t>
  </si>
  <si>
    <t>J Dryer</t>
  </si>
  <si>
    <t>G Weimer</t>
  </si>
  <si>
    <t>J Fjeld</t>
  </si>
  <si>
    <t>G Tran</t>
  </si>
  <si>
    <t>A Hwang</t>
  </si>
  <si>
    <t>M Clasen</t>
  </si>
  <si>
    <t>B Venier</t>
  </si>
  <si>
    <t>L Castell</t>
  </si>
  <si>
    <t>P Hugh</t>
  </si>
  <si>
    <t>T Zic</t>
  </si>
  <si>
    <t>A Crouse</t>
  </si>
  <si>
    <t>B Degenhardt</t>
  </si>
  <si>
    <t>D Lawera</t>
  </si>
  <si>
    <t>E Barreto</t>
  </si>
  <si>
    <t>D Weiss</t>
  </si>
  <si>
    <t>L Cacioppo</t>
  </si>
  <si>
    <t>R Reed</t>
  </si>
  <si>
    <t>K Daniels</t>
  </si>
  <si>
    <t>O Nelson</t>
  </si>
  <si>
    <t>B Hoffman</t>
  </si>
  <si>
    <t>J Gross</t>
  </si>
  <si>
    <t>C Carreira</t>
  </si>
  <si>
    <t>C Cortes</t>
  </si>
  <si>
    <t>T Swint</t>
  </si>
  <si>
    <t>A Avila</t>
  </si>
  <si>
    <t>M Granlund</t>
  </si>
  <si>
    <t>R Ferguson</t>
  </si>
  <si>
    <t>R Duston</t>
  </si>
  <si>
    <t>E McCrary</t>
  </si>
  <si>
    <t>R Williams</t>
  </si>
  <si>
    <t>J Barnett</t>
  </si>
  <si>
    <t>Stroke Cases</t>
  </si>
  <si>
    <t>Avg Risk Score</t>
  </si>
  <si>
    <t>No Stroke</t>
  </si>
  <si>
    <t>Stroke</t>
  </si>
  <si>
    <t>Age Group</t>
  </si>
  <si>
    <t>Risk Level</t>
  </si>
  <si>
    <t>High Risk Flag</t>
  </si>
  <si>
    <t>Hypertension Label</t>
  </si>
  <si>
    <t>Heart Disease Label</t>
  </si>
  <si>
    <t>Alcohol Label</t>
  </si>
  <si>
    <t>Stroke Label</t>
  </si>
  <si>
    <t>Search Key</t>
  </si>
  <si>
    <t>50+</t>
  </si>
  <si>
    <t>Yes</t>
  </si>
  <si>
    <t>No</t>
  </si>
  <si>
    <t>No Alcohol</t>
  </si>
  <si>
    <t>Medium</t>
  </si>
  <si>
    <t>Consumes Alcohol</t>
  </si>
  <si>
    <t>30-50</t>
  </si>
  <si>
    <t>&lt;30</t>
  </si>
  <si>
    <t>Total Patients</t>
  </si>
  <si>
    <t>Average Stroke Risk Score</t>
  </si>
  <si>
    <t>Stroke Occurrence Count</t>
  </si>
  <si>
    <t>Patient Search</t>
  </si>
  <si>
    <t>Diet Type</t>
  </si>
  <si>
    <t>Alcohol</t>
  </si>
  <si>
    <t>All</t>
  </si>
  <si>
    <t>Dashboard Notes</t>
  </si>
  <si>
    <t>Definition</t>
  </si>
  <si>
    <t>High Risk Threshold</t>
  </si>
  <si>
    <t>Stroke Risk Score &gt;= 70</t>
  </si>
  <si>
    <t>Age Groups</t>
  </si>
  <si>
    <t>&lt;30, 30-50, 50+</t>
  </si>
  <si>
    <t>Primary Filters</t>
  </si>
  <si>
    <t>Gender, Age Group, Region</t>
  </si>
  <si>
    <t>Lifestyle Filters</t>
  </si>
  <si>
    <t>Smoking Status, Diet Type, Alcohol Consumption</t>
  </si>
  <si>
    <t>Medical Filters</t>
  </si>
  <si>
    <t>Hypertension, Heart Disease</t>
  </si>
  <si>
    <t>Geographic Filters</t>
  </si>
  <si>
    <t>Region, Residence Type</t>
  </si>
  <si>
    <t>Cleaning Logic</t>
  </si>
  <si>
    <t>Helper columns in Medical History Y:AF represent cleaned dashboard fields</t>
  </si>
  <si>
    <t>Stroke Risk Healthcare Dashboard</t>
  </si>
  <si>
    <t>Interactive view of patient risk, lifestyle drivers, medical conditions, geography, and patient-level drill down</t>
  </si>
  <si>
    <t>Slicer-Style Dashboard Filters (select/list values in blue cells)</t>
  </si>
  <si>
    <t>High-Risk Patients %</t>
  </si>
  <si>
    <t>Highest Risk Segment</t>
  </si>
  <si>
    <t>Top Region by Cases</t>
  </si>
  <si>
    <t>Threshold: High Risk = Stroke Risk Score &gt;= 70</t>
  </si>
  <si>
    <t>Risk Segmentation Analysis</t>
  </si>
  <si>
    <t>Lifestyle Impact Analysis</t>
  </si>
  <si>
    <t>Medical Condition Impact</t>
  </si>
  <si>
    <t>Geographic Analysis</t>
  </si>
  <si>
    <t>Patient-Level Drill Down</t>
  </si>
  <si>
    <t>Risk Score</t>
  </si>
  <si>
    <t>Patient ID</t>
  </si>
  <si>
    <t>Smoking</t>
  </si>
  <si>
    <t>Diet</t>
  </si>
  <si>
    <t>Contributing Factors</t>
  </si>
  <si>
    <t>Interpretation</t>
  </si>
  <si>
    <t>Data Scope</t>
  </si>
  <si>
    <t>96 patients from Medical History table</t>
  </si>
  <si>
    <t>Last Updated</t>
  </si>
  <si>
    <t>KPI</t>
  </si>
  <si>
    <t>Value</t>
  </si>
  <si>
    <t>Patients</t>
  </si>
  <si>
    <t>Medical Condition</t>
  </si>
  <si>
    <t>Avg Risk - Yes</t>
  </si>
  <si>
    <t>Avg Risk - No</t>
  </si>
  <si>
    <t>Condition</t>
  </si>
  <si>
    <t>Status</t>
  </si>
  <si>
    <t>Avg Risk</t>
  </si>
  <si>
    <t>Patient Name</t>
  </si>
  <si>
    <t>Dropdown/list by patient name; includes all patients</t>
  </si>
  <si>
    <t>Select Patient Name</t>
  </si>
  <si>
    <t>Alcohol, High Risk Score</t>
  </si>
  <si>
    <t>Priority review: patient is in the high-risk cohort.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</si>
</sst>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"/>
    <numFmt numFmtId="165" formatCode="0.0%"/>
    <numFmt numFmtId="166" formatCode="0.0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F2937"/>
      <name val="Calibri"/>
      <family val="2"/>
      <scheme val="minor"/>
    </font>
    <font>
      <sz val="10"/>
      <color rgb="FF1F2937"/>
      <name val="Calibri"/>
      <family val="2"/>
      <scheme val="minor"/>
    </font>
    <font>
      <b/>
      <sz val="20"/>
      <color rgb="FFFFFFFF"/>
      <name val="Calibri"/>
      <family val="2"/>
      <scheme val="minor"/>
    </font>
    <font>
      <b/>
      <sz val="10"/>
      <color rgb="FF063B75"/>
      <name val="Calibri"/>
      <family val="2"/>
      <scheme val="minor"/>
    </font>
    <font>
      <sz val="9"/>
      <color rgb="FF1F2937"/>
      <name val="Calibri"/>
      <family val="2"/>
      <scheme val="minor"/>
    </font>
    <font>
      <b/>
      <sz val="9"/>
      <color rgb="FF1265C7"/>
      <name val="Calibri"/>
      <family val="2"/>
      <scheme val="minor"/>
    </font>
    <font>
      <b/>
      <sz val="9"/>
      <color rgb="FF111827"/>
      <name val="Calibri"/>
      <family val="2"/>
      <scheme val="minor"/>
    </font>
    <font>
      <b/>
      <sz val="16"/>
      <color rgb="FF063B75"/>
      <name val="Calibri"/>
      <family val="2"/>
      <scheme val="minor"/>
    </font>
    <font>
      <i/>
      <sz val="8"/>
      <color rgb="FF6B7280"/>
      <name val="Calibri"/>
      <family val="2"/>
      <scheme val="minor"/>
    </font>
    <font>
      <b/>
      <sz val="9"/>
      <color rgb="FF0B4F9C"/>
      <name val="Calibri"/>
      <family val="2"/>
      <scheme val="minor"/>
    </font>
    <font>
      <b/>
      <sz val="9"/>
      <color rgb="FFD64545"/>
      <name val="Calibri"/>
      <family val="2"/>
      <scheme val="minor"/>
    </font>
    <font>
      <b/>
      <sz val="9"/>
      <color rgb="FF7C2D12"/>
      <name val="Calibri"/>
      <family val="2"/>
      <scheme val="minor"/>
    </font>
    <font>
      <sz val="9"/>
      <color rgb="FF7C2D12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63B75"/>
        <bgColor indexed="64"/>
      </patternFill>
    </fill>
    <fill>
      <patternFill patternType="solid">
        <fgColor rgb="FFEAF3FF"/>
        <bgColor indexed="64"/>
      </patternFill>
    </fill>
    <fill>
      <patternFill patternType="solid">
        <fgColor rgb="FFEDF3FA"/>
        <bgColor indexed="64"/>
      </patternFill>
    </fill>
    <fill>
      <patternFill patternType="solid">
        <fgColor rgb="FFFFF1F1"/>
        <bgColor indexed="64"/>
      </patternFill>
    </fill>
    <fill>
      <patternFill patternType="solid">
        <fgColor rgb="FFFFF7ED"/>
        <bgColor indexed="64"/>
      </patternFill>
    </fill>
    <fill>
      <patternFill patternType="solid">
        <fgColor rgb="FFF7FAFF"/>
        <bgColor indexed="64"/>
      </patternFill>
    </fill>
  </fills>
  <borders count="36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/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/>
      <diagonal/>
    </border>
    <border>
      <left style="thin">
        <color rgb="FFD9E1F2"/>
      </left>
      <right style="thin">
        <color rgb="FFD9E1F2"/>
      </right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A2A52"/>
      </bottom>
      <diagonal/>
    </border>
    <border>
      <left style="thin">
        <color rgb="FF0A2A52"/>
      </left>
      <right style="thin">
        <color rgb="FF0A2A52"/>
      </right>
      <top style="thin">
        <color rgb="FF0A2A52"/>
      </top>
      <bottom style="thin">
        <color rgb="FF0A2A52"/>
      </bottom>
      <diagonal/>
    </border>
    <border>
      <left style="thin">
        <color rgb="FF0A2A52"/>
      </left>
      <right/>
      <top style="thin">
        <color rgb="FF0A2A52"/>
      </top>
      <bottom/>
      <diagonal/>
    </border>
    <border>
      <left/>
      <right style="thin">
        <color rgb="FFD9E1F2"/>
      </right>
      <top/>
      <bottom style="thin">
        <color rgb="FFD9E1F2"/>
      </bottom>
      <diagonal/>
    </border>
    <border>
      <left style="thin">
        <color rgb="FF0A2A52"/>
      </left>
      <right style="thin">
        <color rgb="FF0A2A52"/>
      </right>
      <top style="thin">
        <color rgb="FF0A2A52"/>
      </top>
      <bottom/>
      <diagonal/>
    </border>
    <border>
      <left style="thin">
        <color rgb="FFD9E1F2"/>
      </left>
      <right/>
      <top/>
      <bottom style="thin">
        <color rgb="FFD9E1F2"/>
      </bottom>
      <diagonal/>
    </border>
    <border>
      <left style="thin">
        <color rgb="FFD7E3F2"/>
      </left>
      <right style="thin">
        <color rgb="FFD7E3F2"/>
      </right>
      <top style="thin">
        <color rgb="FFD7E3F2"/>
      </top>
      <bottom style="thin">
        <color rgb="FFD7E3F2"/>
      </bottom>
      <diagonal/>
    </border>
    <border>
      <left/>
      <right/>
      <top/>
      <bottom style="thin">
        <color rgb="FFD7E3F2"/>
      </bottom>
      <diagonal/>
    </border>
    <border>
      <left style="thin">
        <color rgb="FFD7E3F2"/>
      </left>
      <right/>
      <top style="thin">
        <color rgb="FFD7E3F2"/>
      </top>
      <bottom style="thin">
        <color rgb="FFD7E3F2"/>
      </bottom>
      <diagonal/>
    </border>
    <border>
      <left style="thin">
        <color rgb="FFD7E3F2"/>
      </left>
      <right/>
      <top/>
      <bottom style="thin">
        <color rgb="FFD7E3F2"/>
      </bottom>
      <diagonal/>
    </border>
    <border>
      <left/>
      <right style="thin">
        <color rgb="FFD7E3F2"/>
      </right>
      <top/>
      <bottom style="thin">
        <color rgb="FFD7E3F2"/>
      </bottom>
      <diagonal/>
    </border>
    <border>
      <left/>
      <right style="thin">
        <color rgb="FFD7E3F2"/>
      </right>
      <top style="thin">
        <color rgb="FFD7E3F2"/>
      </top>
      <bottom style="thin">
        <color rgb="FFD7E3F2"/>
      </bottom>
      <diagonal/>
    </border>
    <border>
      <left style="thin">
        <color rgb="FFD7E3F2"/>
      </left>
      <right/>
      <top/>
      <bottom/>
      <diagonal/>
    </border>
    <border>
      <left style="thin">
        <color rgb="FFD7E3F2"/>
      </left>
      <right/>
      <top style="thin">
        <color rgb="FFD7E3F2"/>
      </top>
      <bottom/>
      <diagonal/>
    </border>
    <border>
      <left style="thin">
        <color rgb="FF0A2A52"/>
      </left>
      <right style="thin">
        <color rgb="FF0A2A52"/>
      </right>
      <top/>
      <bottom style="thin">
        <color rgb="FF0A2A52"/>
      </bottom>
      <diagonal/>
    </border>
    <border>
      <left/>
      <right/>
      <top style="thin">
        <color rgb="FFE1E8F0"/>
      </top>
      <bottom/>
      <diagonal/>
    </border>
    <border>
      <left/>
      <right/>
      <top/>
      <bottom style="thin">
        <color rgb="FFE1E8F0"/>
      </bottom>
      <diagonal/>
    </border>
    <border>
      <left style="thin">
        <color rgb="FFE1E8F0"/>
      </left>
      <right/>
      <top style="thin">
        <color rgb="FFE1E8F0"/>
      </top>
      <bottom/>
      <diagonal/>
    </border>
    <border>
      <left style="thin">
        <color rgb="FFE1E8F0"/>
      </left>
      <right/>
      <top/>
      <bottom/>
      <diagonal/>
    </border>
    <border>
      <left style="thin">
        <color rgb="FFE1E8F0"/>
      </left>
      <right/>
      <top/>
      <bottom style="thin">
        <color rgb="FFE1E8F0"/>
      </bottom>
      <diagonal/>
    </border>
    <border>
      <left/>
      <right style="thin">
        <color rgb="FFE1E8F0"/>
      </right>
      <top style="thin">
        <color rgb="FFE1E8F0"/>
      </top>
      <bottom/>
      <diagonal/>
    </border>
    <border>
      <left/>
      <right style="thin">
        <color rgb="FFE1E8F0"/>
      </right>
      <top/>
      <bottom/>
      <diagonal/>
    </border>
    <border>
      <left/>
      <right style="thin">
        <color rgb="FFE1E8F0"/>
      </right>
      <top/>
      <bottom style="thin">
        <color rgb="FFE1E8F0"/>
      </bottom>
      <diagonal/>
    </border>
    <border>
      <left style="thin">
        <color rgb="FF0A2A52"/>
      </left>
      <right style="thin">
        <color rgb="FF0A2A52"/>
      </right>
      <top/>
      <bottom/>
      <diagonal/>
    </border>
    <border>
      <left style="thin">
        <color rgb="FF0A2A52"/>
      </left>
      <right/>
      <top/>
      <bottom/>
      <diagonal/>
    </border>
    <border>
      <left style="thin">
        <color rgb="FFD9E1F2"/>
      </left>
      <right style="thin">
        <color rgb="FFD9E1F2"/>
      </right>
      <top/>
      <bottom/>
      <diagonal/>
    </border>
    <border>
      <left/>
      <right/>
      <top style="thin">
        <color rgb="FFD7E3F2"/>
      </top>
      <bottom style="thin">
        <color rgb="FFD7E3F2"/>
      </bottom>
      <diagonal/>
    </border>
    <border>
      <left/>
      <right style="thin">
        <color rgb="FFD7E3F2"/>
      </right>
      <top style="thin">
        <color rgb="FFD7E3F2"/>
      </top>
      <bottom/>
      <diagonal/>
    </border>
    <border>
      <left/>
      <right style="thin">
        <color rgb="FFD7E3F2"/>
      </right>
      <top/>
      <bottom/>
      <diagonal/>
    </border>
    <border>
      <left/>
      <right/>
      <top style="thin">
        <color rgb="FFD7E3F2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2" fillId="3" borderId="0" xfId="0" applyFont="1" applyFill="1"/>
    <xf numFmtId="166" fontId="0" fillId="0" borderId="0" xfId="0" applyNumberFormat="1"/>
    <xf numFmtId="165" fontId="0" fillId="0" borderId="0" xfId="0" applyNumberFormat="1"/>
    <xf numFmtId="0" fontId="0" fillId="0" borderId="5" xfId="0" applyBorder="1"/>
    <xf numFmtId="166" fontId="0" fillId="0" borderId="5" xfId="0" applyNumberFormat="1" applyBorder="1"/>
    <xf numFmtId="165" fontId="0" fillId="0" borderId="5" xfId="0" applyNumberFormat="1" applyBorder="1"/>
    <xf numFmtId="0" fontId="5" fillId="4" borderId="2" xfId="0" applyFont="1" applyFill="1" applyBorder="1"/>
    <xf numFmtId="0" fontId="5" fillId="4" borderId="1" xfId="0" applyFont="1" applyFill="1" applyBorder="1"/>
    <xf numFmtId="0" fontId="6" fillId="4" borderId="1" xfId="0" applyFont="1" applyFill="1" applyBorder="1"/>
    <xf numFmtId="0" fontId="6" fillId="4" borderId="0" xfId="0" applyFont="1" applyFill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left" vertical="center"/>
    </xf>
    <xf numFmtId="0" fontId="6" fillId="4" borderId="0" xfId="0" applyFont="1" applyFill="1"/>
    <xf numFmtId="0" fontId="8" fillId="6" borderId="0" xfId="0" applyFont="1" applyFill="1" applyAlignment="1">
      <alignment horizontal="left" vertical="center"/>
    </xf>
    <xf numFmtId="0" fontId="7" fillId="5" borderId="6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4" fillId="5" borderId="7" xfId="0" applyFont="1" applyFill="1" applyBorder="1" applyAlignment="1">
      <alignment horizontal="left" vertical="center"/>
    </xf>
    <xf numFmtId="0" fontId="4" fillId="5" borderId="8" xfId="0" applyFont="1" applyFill="1" applyBorder="1" applyAlignment="1">
      <alignment vertical="center"/>
    </xf>
    <xf numFmtId="0" fontId="5" fillId="4" borderId="9" xfId="0" applyFont="1" applyFill="1" applyBorder="1" applyAlignment="1">
      <alignment horizontal="left" vertical="center"/>
    </xf>
    <xf numFmtId="0" fontId="4" fillId="5" borderId="10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horizontal="left" vertical="center"/>
    </xf>
    <xf numFmtId="0" fontId="10" fillId="6" borderId="12" xfId="0" applyFont="1" applyFill="1" applyBorder="1" applyAlignment="1">
      <alignment horizontal="center" vertical="center"/>
    </xf>
    <xf numFmtId="0" fontId="6" fillId="4" borderId="0" xfId="0" applyFont="1" applyFill="1" applyBorder="1"/>
    <xf numFmtId="0" fontId="4" fillId="5" borderId="10" xfId="0" applyFont="1" applyFill="1" applyBorder="1" applyAlignment="1">
      <alignment vertical="center"/>
    </xf>
    <xf numFmtId="0" fontId="4" fillId="5" borderId="20" xfId="0" applyFont="1" applyFill="1" applyBorder="1" applyAlignment="1">
      <alignment vertical="center"/>
    </xf>
    <xf numFmtId="0" fontId="6" fillId="4" borderId="21" xfId="0" applyFont="1" applyFill="1" applyBorder="1"/>
    <xf numFmtId="0" fontId="6" fillId="4" borderId="22" xfId="0" applyFont="1" applyFill="1" applyBorder="1"/>
    <xf numFmtId="0" fontId="6" fillId="4" borderId="23" xfId="0" applyFont="1" applyFill="1" applyBorder="1"/>
    <xf numFmtId="0" fontId="6" fillId="4" borderId="24" xfId="0" applyFont="1" applyFill="1" applyBorder="1"/>
    <xf numFmtId="0" fontId="6" fillId="4" borderId="25" xfId="0" applyFont="1" applyFill="1" applyBorder="1"/>
    <xf numFmtId="0" fontId="6" fillId="4" borderId="26" xfId="0" applyFont="1" applyFill="1" applyBorder="1"/>
    <xf numFmtId="0" fontId="6" fillId="4" borderId="27" xfId="0" applyFont="1" applyFill="1" applyBorder="1"/>
    <xf numFmtId="0" fontId="6" fillId="4" borderId="28" xfId="0" applyFont="1" applyFill="1" applyBorder="1"/>
    <xf numFmtId="0" fontId="4" fillId="5" borderId="29" xfId="0" applyFont="1" applyFill="1" applyBorder="1" applyAlignment="1">
      <alignment vertical="center"/>
    </xf>
    <xf numFmtId="0" fontId="4" fillId="5" borderId="30" xfId="0" applyFont="1" applyFill="1" applyBorder="1" applyAlignment="1">
      <alignment vertical="center"/>
    </xf>
    <xf numFmtId="0" fontId="0" fillId="4" borderId="0" xfId="0" applyFill="1" applyBorder="1"/>
    <xf numFmtId="0" fontId="6" fillId="4" borderId="3" xfId="0" applyFont="1" applyFill="1" applyBorder="1"/>
    <xf numFmtId="0" fontId="0" fillId="4" borderId="21" xfId="0" applyFill="1" applyBorder="1"/>
    <xf numFmtId="0" fontId="0" fillId="4" borderId="22" xfId="0" applyFill="1" applyBorder="1"/>
    <xf numFmtId="0" fontId="0" fillId="4" borderId="23" xfId="0" applyFill="1" applyBorder="1"/>
    <xf numFmtId="0" fontId="0" fillId="4" borderId="24" xfId="0" applyFill="1" applyBorder="1"/>
    <xf numFmtId="0" fontId="0" fillId="4" borderId="25" xfId="0" applyFill="1" applyBorder="1"/>
    <xf numFmtId="0" fontId="0" fillId="4" borderId="26" xfId="0" applyFill="1" applyBorder="1"/>
    <xf numFmtId="0" fontId="0" fillId="4" borderId="27" xfId="0" applyFill="1" applyBorder="1"/>
    <xf numFmtId="0" fontId="0" fillId="4" borderId="28" xfId="0" applyFill="1" applyBorder="1"/>
    <xf numFmtId="0" fontId="6" fillId="4" borderId="2" xfId="0" applyFont="1" applyFill="1" applyBorder="1"/>
    <xf numFmtId="0" fontId="6" fillId="4" borderId="31" xfId="0" applyFont="1" applyFill="1" applyBorder="1"/>
    <xf numFmtId="0" fontId="9" fillId="4" borderId="12" xfId="0" applyFont="1" applyFill="1" applyBorder="1" applyAlignment="1">
      <alignment vertical="center"/>
    </xf>
    <xf numFmtId="0" fontId="14" fillId="4" borderId="12" xfId="0" applyFont="1" applyFill="1" applyBorder="1" applyAlignment="1">
      <alignment vertical="center"/>
    </xf>
    <xf numFmtId="0" fontId="9" fillId="4" borderId="12" xfId="0" applyFont="1" applyFill="1" applyBorder="1" applyAlignment="1">
      <alignment horizontal="center" vertical="center"/>
    </xf>
    <xf numFmtId="0" fontId="14" fillId="4" borderId="12" xfId="0" applyFont="1" applyFill="1" applyBorder="1" applyAlignment="1">
      <alignment vertical="center" wrapText="1"/>
    </xf>
    <xf numFmtId="0" fontId="9" fillId="4" borderId="12" xfId="0" applyFont="1" applyFill="1" applyBorder="1" applyAlignment="1">
      <alignment vertical="center" wrapText="1"/>
    </xf>
    <xf numFmtId="0" fontId="15" fillId="8" borderId="12" xfId="0" applyFont="1" applyFill="1" applyBorder="1" applyAlignment="1">
      <alignment horizontal="center" vertical="center"/>
    </xf>
    <xf numFmtId="0" fontId="17" fillId="9" borderId="12" xfId="0" applyFont="1" applyFill="1" applyBorder="1" applyAlignment="1">
      <alignment vertical="center" wrapText="1"/>
    </xf>
    <xf numFmtId="0" fontId="11" fillId="7" borderId="12" xfId="0" applyFont="1" applyFill="1" applyBorder="1" applyAlignment="1">
      <alignment horizontal="left" vertical="center"/>
    </xf>
    <xf numFmtId="0" fontId="11" fillId="7" borderId="12" xfId="0" applyFont="1" applyFill="1" applyBorder="1" applyAlignment="1">
      <alignment horizontal="center" vertical="center"/>
    </xf>
    <xf numFmtId="0" fontId="11" fillId="7" borderId="12" xfId="0" applyFont="1" applyFill="1" applyBorder="1" applyAlignment="1">
      <alignment vertical="center"/>
    </xf>
    <xf numFmtId="14" fontId="11" fillId="7" borderId="12" xfId="0" applyNumberFormat="1" applyFont="1" applyFill="1" applyBorder="1" applyAlignment="1">
      <alignment vertical="center"/>
    </xf>
    <xf numFmtId="0" fontId="11" fillId="10" borderId="19" xfId="0" applyFont="1" applyFill="1" applyBorder="1" applyAlignment="1">
      <alignment horizontal="center" vertical="center"/>
    </xf>
    <xf numFmtId="0" fontId="11" fillId="10" borderId="35" xfId="0" applyFont="1" applyFill="1" applyBorder="1" applyAlignment="1">
      <alignment horizontal="center" vertical="center"/>
    </xf>
    <xf numFmtId="0" fontId="11" fillId="10" borderId="33" xfId="0" applyFont="1" applyFill="1" applyBorder="1" applyAlignment="1">
      <alignment horizontal="center" vertical="center"/>
    </xf>
    <xf numFmtId="0" fontId="12" fillId="10" borderId="18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166" fontId="12" fillId="10" borderId="18" xfId="0" applyNumberFormat="1" applyFont="1" applyFill="1" applyBorder="1" applyAlignment="1">
      <alignment horizontal="center" vertical="center"/>
    </xf>
    <xf numFmtId="166" fontId="12" fillId="10" borderId="0" xfId="0" applyNumberFormat="1" applyFont="1" applyFill="1" applyBorder="1" applyAlignment="1">
      <alignment horizontal="center" vertical="center"/>
    </xf>
    <xf numFmtId="165" fontId="12" fillId="10" borderId="18" xfId="0" applyNumberFormat="1" applyFont="1" applyFill="1" applyBorder="1" applyAlignment="1">
      <alignment horizontal="center" vertical="center"/>
    </xf>
    <xf numFmtId="165" fontId="12" fillId="10" borderId="0" xfId="0" applyNumberFormat="1" applyFont="1" applyFill="1" applyBorder="1" applyAlignment="1">
      <alignment horizontal="center" vertical="center"/>
    </xf>
    <xf numFmtId="0" fontId="12" fillId="10" borderId="34" xfId="0" applyFont="1" applyFill="1" applyBorder="1" applyAlignment="1">
      <alignment horizontal="center" vertical="center"/>
    </xf>
    <xf numFmtId="0" fontId="13" fillId="10" borderId="15" xfId="0" applyFont="1" applyFill="1" applyBorder="1" applyAlignment="1">
      <alignment horizontal="center" vertical="center" wrapText="1"/>
    </xf>
    <xf numFmtId="0" fontId="13" fillId="10" borderId="13" xfId="0" applyFont="1" applyFill="1" applyBorder="1" applyAlignment="1">
      <alignment horizontal="center" vertical="center" wrapText="1"/>
    </xf>
    <xf numFmtId="0" fontId="13" fillId="10" borderId="16" xfId="0" applyFont="1" applyFill="1" applyBorder="1" applyAlignment="1">
      <alignment horizontal="center" vertical="center" wrapText="1"/>
    </xf>
    <xf numFmtId="0" fontId="13" fillId="10" borderId="15" xfId="0" applyFont="1" applyFill="1" applyBorder="1" applyAlignment="1">
      <alignment horizontal="center" vertical="center" wrapText="1"/>
    </xf>
    <xf numFmtId="0" fontId="13" fillId="10" borderId="16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vertical="center" wrapText="1"/>
    </xf>
    <xf numFmtId="0" fontId="14" fillId="4" borderId="32" xfId="0" applyFont="1" applyFill="1" applyBorder="1" applyAlignment="1">
      <alignment horizontal="center" vertical="center" wrapText="1"/>
    </xf>
    <xf numFmtId="0" fontId="14" fillId="4" borderId="17" xfId="0" applyFont="1" applyFill="1" applyBorder="1" applyAlignment="1">
      <alignment horizontal="center" vertical="center" wrapText="1"/>
    </xf>
    <xf numFmtId="0" fontId="16" fillId="9" borderId="14" xfId="0" applyFont="1" applyFill="1" applyBorder="1" applyAlignment="1">
      <alignment horizontal="center" vertical="center" wrapText="1"/>
    </xf>
    <xf numFmtId="0" fontId="16" fillId="9" borderId="32" xfId="0" applyFont="1" applyFill="1" applyBorder="1" applyAlignment="1">
      <alignment horizontal="center" vertical="center" wrapText="1"/>
    </xf>
    <xf numFmtId="0" fontId="16" fillId="9" borderId="17" xfId="0" applyFont="1" applyFill="1" applyBorder="1" applyAlignment="1">
      <alignment horizontal="center" vertical="center" wrapText="1"/>
    </xf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Stroke Risk Score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1554414292938956E-2"/>
          <c:y val="0.17673118279569894"/>
          <c:w val="0.86849227216682356"/>
          <c:h val="0.7406956227245787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'Dashboard Data'!$I$10</c:f>
              <c:strCache>
                <c:ptCount val="1"/>
                <c:pt idx="0">
                  <c:v>Avg Risk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Data'!$H$11:$H$12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'Dashboard Data'!$I$11:$I$12</c:f>
              <c:numCache>
                <c:formatCode>0.0</c:formatCode>
                <c:ptCount val="2"/>
                <c:pt idx="0">
                  <c:v>55.256410256410255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4D-454F-9E43-B1C1CA5B8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2026800"/>
        <c:axId val="772023440"/>
      </c:barChart>
      <c:catAx>
        <c:axId val="772026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023440"/>
        <c:crosses val="autoZero"/>
        <c:auto val="1"/>
        <c:lblAlgn val="ctr"/>
        <c:lblOffset val="100"/>
        <c:noMultiLvlLbl val="0"/>
      </c:catAx>
      <c:valAx>
        <c:axId val="772023440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02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Stroke Occurrence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Data'!$I$10</c:f>
              <c:strCache>
                <c:ptCount val="1"/>
                <c:pt idx="0">
                  <c:v>Avg Risk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Data'!$H$11:$H$12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'Dashboard Data'!$I$11:$I$12</c:f>
              <c:numCache>
                <c:formatCode>0.0</c:formatCode>
                <c:ptCount val="2"/>
                <c:pt idx="0">
                  <c:v>55.256410256410255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10-4061-BDF4-6F59AFCBDBFF}"/>
            </c:ext>
          </c:extLst>
        </c:ser>
        <c:ser>
          <c:idx val="1"/>
          <c:order val="1"/>
          <c:tx>
            <c:strRef>
              <c:f>'Dashboard Data'!$J$10</c:f>
              <c:strCache>
                <c:ptCount val="1"/>
                <c:pt idx="0">
                  <c:v>Stroke Cases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Data'!$H$11:$H$12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'Dashboard Data'!$J$11:$J$12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10-4061-BDF4-6F59AFCBDB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2045520"/>
        <c:axId val="772046000"/>
      </c:barChart>
      <c:catAx>
        <c:axId val="77204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046000"/>
        <c:crosses val="autoZero"/>
        <c:auto val="1"/>
        <c:lblAlgn val="ctr"/>
        <c:lblOffset val="100"/>
        <c:noMultiLvlLbl val="0"/>
      </c:catAx>
      <c:valAx>
        <c:axId val="77204600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04552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Alcohol Consumption vs Stroke Occurrence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Data'!$M$16</c:f>
              <c:strCache>
                <c:ptCount val="1"/>
                <c:pt idx="0">
                  <c:v>Stroke 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Data'!$L$17:$L$18</c:f>
              <c:strCache>
                <c:ptCount val="2"/>
                <c:pt idx="0">
                  <c:v>Consumes Alcohol</c:v>
                </c:pt>
                <c:pt idx="1">
                  <c:v>No Alcohol</c:v>
                </c:pt>
              </c:strCache>
            </c:strRef>
          </c:cat>
          <c:val>
            <c:numRef>
              <c:f>'Dashboard Data'!$M$17:$M$18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FC-407F-8523-0452B263BC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72051280"/>
        <c:axId val="772051760"/>
      </c:barChart>
      <c:catAx>
        <c:axId val="772051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051760"/>
        <c:crosses val="autoZero"/>
        <c:auto val="1"/>
        <c:lblAlgn val="ctr"/>
        <c:lblOffset val="100"/>
        <c:noMultiLvlLbl val="0"/>
      </c:catAx>
      <c:valAx>
        <c:axId val="772051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051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Risk Score by Smoking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Data'!$E$16</c:f>
              <c:strCache>
                <c:ptCount val="1"/>
                <c:pt idx="0">
                  <c:v>Avg Risk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Data'!$D$17:$D$19</c:f>
              <c:strCache>
                <c:ptCount val="3"/>
                <c:pt idx="0">
                  <c:v>Never smoked</c:v>
                </c:pt>
                <c:pt idx="1">
                  <c:v>Formerly smoked</c:v>
                </c:pt>
                <c:pt idx="2">
                  <c:v>Smokes</c:v>
                </c:pt>
              </c:strCache>
            </c:strRef>
          </c:cat>
          <c:val>
            <c:numRef>
              <c:f>'Dashboard Data'!$E$17:$E$19</c:f>
              <c:numCache>
                <c:formatCode>0.0</c:formatCode>
                <c:ptCount val="3"/>
                <c:pt idx="0">
                  <c:v>55.5</c:v>
                </c:pt>
                <c:pt idx="1">
                  <c:v>64.125</c:v>
                </c:pt>
                <c:pt idx="2">
                  <c:v>35.666666666666664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64-4C5A-ADAB-C9FCC0987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1722864"/>
        <c:axId val="971724784"/>
      </c:barChart>
      <c:catAx>
        <c:axId val="97172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724784"/>
        <c:crosses val="autoZero"/>
        <c:auto val="1"/>
        <c:lblAlgn val="ctr"/>
        <c:lblOffset val="100"/>
        <c:noMultiLvlLbl val="0"/>
      </c:catAx>
      <c:valAx>
        <c:axId val="971724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72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Score Comparison by Diet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Data'!$I$16</c:f>
              <c:strCache>
                <c:ptCount val="1"/>
                <c:pt idx="0">
                  <c:v>Avg Risk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Data'!$H$17:$H$18</c:f>
              <c:strCache>
                <c:ptCount val="2"/>
                <c:pt idx="0">
                  <c:v>Vegetarian</c:v>
                </c:pt>
                <c:pt idx="1">
                  <c:v>Non-Vegetarian</c:v>
                </c:pt>
              </c:strCache>
            </c:strRef>
          </c:cat>
          <c:val>
            <c:numRef>
              <c:f>'Dashboard Data'!$I$17:$I$18</c:f>
              <c:numCache>
                <c:formatCode>0.0</c:formatCode>
                <c:ptCount val="2"/>
                <c:pt idx="0">
                  <c:v>54.071428571428569</c:v>
                </c:pt>
                <c:pt idx="1">
                  <c:v>59.470588235294116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B2-40A4-90A5-07ECCD799C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1725264"/>
        <c:axId val="971742064"/>
      </c:barChart>
      <c:catAx>
        <c:axId val="971725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742064"/>
        <c:crosses val="autoZero"/>
        <c:auto val="1"/>
        <c:lblAlgn val="ctr"/>
        <c:lblOffset val="100"/>
        <c:noMultiLvlLbl val="0"/>
      </c:catAx>
      <c:valAx>
        <c:axId val="971742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725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Risk Score: Hypertension / Heart Disease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1598267716535433E-2"/>
          <c:y val="0.16333271924649215"/>
          <c:w val="0.91640173228346455"/>
          <c:h val="0.609248381026115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'Dashboard Data'!$B$22</c:f>
              <c:strCache>
                <c:ptCount val="1"/>
                <c:pt idx="0">
                  <c:v>Avg Risk - Yes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Data'!$A$23:$A$24</c:f>
              <c:strCache>
                <c:ptCount val="2"/>
                <c:pt idx="0">
                  <c:v>Hypertension</c:v>
                </c:pt>
                <c:pt idx="1">
                  <c:v>Heart Disease</c:v>
                </c:pt>
              </c:strCache>
            </c:strRef>
          </c:cat>
          <c:val>
            <c:numRef>
              <c:f>'Dashboard Data'!$B$23:$B$24</c:f>
              <c:numCache>
                <c:formatCode>0.0</c:formatCode>
                <c:ptCount val="2"/>
                <c:pt idx="0">
                  <c:v>40.799999999999997</c:v>
                </c:pt>
                <c:pt idx="1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E7-4DFC-8A18-0BD88722202C}"/>
            </c:ext>
          </c:extLst>
        </c:ser>
        <c:ser>
          <c:idx val="1"/>
          <c:order val="1"/>
          <c:tx>
            <c:strRef>
              <c:f>'Dashboard Data'!$C$22</c:f>
              <c:strCache>
                <c:ptCount val="1"/>
                <c:pt idx="0">
                  <c:v>Avg Risk - No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Data'!$A$23:$A$24</c:f>
              <c:strCache>
                <c:ptCount val="2"/>
                <c:pt idx="0">
                  <c:v>Hypertension</c:v>
                </c:pt>
                <c:pt idx="1">
                  <c:v>Heart Disease</c:v>
                </c:pt>
              </c:strCache>
            </c:strRef>
          </c:cat>
          <c:val>
            <c:numRef>
              <c:f>'Dashboard Data'!$C$23:$C$24</c:f>
              <c:numCache>
                <c:formatCode>0.0</c:formatCode>
                <c:ptCount val="2"/>
                <c:pt idx="0">
                  <c:v>57.382352941176471</c:v>
                </c:pt>
                <c:pt idx="1">
                  <c:v>55.864864864864863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E7-4DFC-8A18-0BD8872220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1743024"/>
        <c:axId val="971744464"/>
      </c:barChart>
      <c:catAx>
        <c:axId val="971743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744464"/>
        <c:crosses val="autoZero"/>
        <c:auto val="1"/>
        <c:lblAlgn val="ctr"/>
        <c:lblOffset val="100"/>
        <c:noMultiLvlLbl val="0"/>
      </c:catAx>
      <c:valAx>
        <c:axId val="97174446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743024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Stroke Cases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4478408344331218E-2"/>
          <c:y val="0.30694161095736433"/>
          <c:w val="0.93977537635711483"/>
          <c:h val="0.4726424048235324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'Dashboard Data'!$L$30</c:f>
              <c:strCache>
                <c:ptCount val="1"/>
                <c:pt idx="0">
                  <c:v>Stroke Cases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Data'!$K$31:$K$34</c:f>
              <c:strCache>
                <c:ptCount val="4"/>
                <c:pt idx="0">
                  <c:v>North</c:v>
                </c:pt>
                <c:pt idx="1">
                  <c:v>South</c:v>
                </c:pt>
                <c:pt idx="2">
                  <c:v>East</c:v>
                </c:pt>
                <c:pt idx="3">
                  <c:v>West</c:v>
                </c:pt>
              </c:strCache>
            </c:strRef>
          </c:cat>
          <c:val>
            <c:numRef>
              <c:f>'Dashboard Data'!$L$31:$L$34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F-47C6-ABE0-0635D56FC0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1751664"/>
        <c:axId val="971695024"/>
      </c:barChart>
      <c:catAx>
        <c:axId val="971751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695024"/>
        <c:crosses val="autoZero"/>
        <c:auto val="1"/>
        <c:lblAlgn val="ctr"/>
        <c:lblOffset val="100"/>
        <c:noMultiLvlLbl val="0"/>
      </c:catAx>
      <c:valAx>
        <c:axId val="9716950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751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Risk Score by Residence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'Dashboard Data'!$L$37</c:f>
              <c:strCache>
                <c:ptCount val="1"/>
                <c:pt idx="0">
                  <c:v>Patients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Data'!$K$38:$K$39</c:f>
              <c:strCache>
                <c:ptCount val="2"/>
                <c:pt idx="0">
                  <c:v>Urban</c:v>
                </c:pt>
                <c:pt idx="1">
                  <c:v>Rural</c:v>
                </c:pt>
              </c:strCache>
            </c:strRef>
          </c:cat>
          <c:val>
            <c:numRef>
              <c:f>'Dashboard Data'!$L$38:$L$39</c:f>
              <c:numCache>
                <c:formatCode>General</c:formatCode>
                <c:ptCount val="2"/>
                <c:pt idx="0">
                  <c:v>22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67-4880-89F3-C8241179083E}"/>
            </c:ext>
          </c:extLst>
        </c:ser>
        <c:ser>
          <c:idx val="1"/>
          <c:order val="1"/>
          <c:tx>
            <c:strRef>
              <c:f>'Dashboard Data'!$M$37</c:f>
              <c:strCache>
                <c:ptCount val="1"/>
                <c:pt idx="0">
                  <c:v>Avg Risk Score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Data'!$K$38:$K$39</c:f>
              <c:strCache>
                <c:ptCount val="2"/>
                <c:pt idx="0">
                  <c:v>Urban</c:v>
                </c:pt>
                <c:pt idx="1">
                  <c:v>Rural</c:v>
                </c:pt>
              </c:strCache>
            </c:strRef>
          </c:cat>
          <c:val>
            <c:numRef>
              <c:f>'Dashboard Data'!$M$38:$M$39</c:f>
              <c:numCache>
                <c:formatCode>0.0</c:formatCode>
                <c:ptCount val="2"/>
                <c:pt idx="0">
                  <c:v>52.590909090909093</c:v>
                </c:pt>
                <c:pt idx="1">
                  <c:v>58.705882352941174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67-4880-89F3-C82411790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1700784"/>
        <c:axId val="971692624"/>
      </c:barChart>
      <c:catAx>
        <c:axId val="9717007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692624"/>
        <c:crosses val="autoZero"/>
        <c:auto val="1"/>
        <c:lblAlgn val="ctr"/>
        <c:lblOffset val="100"/>
        <c:noMultiLvlLbl val="0"/>
      </c:catAx>
      <c:valAx>
        <c:axId val="971692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70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Stroke Risk Score by Age Group</a:t>
            </a:r>
          </a:p>
        </c:rich>
      </c:tx>
      <c:layout>
        <c:manualLayout>
          <c:xMode val="edge"/>
          <c:yMode val="edge"/>
          <c:x val="0.26863561716982937"/>
          <c:y val="5.85827749029211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3047356408068078E-2"/>
          <c:y val="0.16328932434896495"/>
          <c:w val="0.9084929115271223"/>
          <c:h val="0.734579927160890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'Dashboard Data'!$E$10</c:f>
              <c:strCache>
                <c:ptCount val="1"/>
                <c:pt idx="0">
                  <c:v>Avg Risk 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'Dashboard Data'!$D$11:$D$13</c:f>
              <c:strCache>
                <c:ptCount val="3"/>
                <c:pt idx="0">
                  <c:v>&lt;30</c:v>
                </c:pt>
                <c:pt idx="1">
                  <c:v>30-50</c:v>
                </c:pt>
                <c:pt idx="2">
                  <c:v>50+</c:v>
                </c:pt>
              </c:strCache>
            </c:strRef>
          </c:cat>
          <c:val>
            <c:numRef>
              <c:f>'Dashboard Data'!$E$11:$E$13</c:f>
              <c:numCache>
                <c:formatCode>0.0</c:formatCode>
                <c:ptCount val="3"/>
                <c:pt idx="0">
                  <c:v>70.75</c:v>
                </c:pt>
                <c:pt idx="1">
                  <c:v>55.53846153846154</c:v>
                </c:pt>
                <c:pt idx="2">
                  <c:v>52.272727272727273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A7-40FB-AABB-438A683E1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1707024"/>
        <c:axId val="971707504"/>
      </c:barChart>
      <c:catAx>
        <c:axId val="97170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707504"/>
        <c:crosses val="autoZero"/>
        <c:auto val="1"/>
        <c:lblAlgn val="ctr"/>
        <c:lblOffset val="100"/>
        <c:noMultiLvlLbl val="0"/>
      </c:catAx>
      <c:valAx>
        <c:axId val="971707504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70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21</xdr:row>
      <xdr:rowOff>0</xdr:rowOff>
    </xdr:from>
    <xdr:to>
      <xdr:col>20</xdr:col>
      <xdr:colOff>0</xdr:colOff>
      <xdr:row>39</xdr:row>
      <xdr:rowOff>0</xdr:rowOff>
    </xdr:to>
    <xdr:graphicFrame macro="">
      <xdr:nvGraphicFramePr>
        <xdr:cNvPr id="3" name="Avg Risk by Gender">
          <a:extLst>
            <a:ext uri="{FF2B5EF4-FFF2-40B4-BE49-F238E27FC236}">
              <a16:creationId xmlns:a16="http://schemas.microsoft.com/office/drawing/2014/main" id="{E476D2D6-DC87-BA74-6D3E-AF6C5012EF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40</xdr:row>
      <xdr:rowOff>0</xdr:rowOff>
    </xdr:from>
    <xdr:to>
      <xdr:col>11</xdr:col>
      <xdr:colOff>0</xdr:colOff>
      <xdr:row>61</xdr:row>
      <xdr:rowOff>0</xdr:rowOff>
    </xdr:to>
    <xdr:graphicFrame macro="">
      <xdr:nvGraphicFramePr>
        <xdr:cNvPr id="4" name="Stroke Occurrence by Gender">
          <a:extLst>
            <a:ext uri="{FF2B5EF4-FFF2-40B4-BE49-F238E27FC236}">
              <a16:creationId xmlns:a16="http://schemas.microsoft.com/office/drawing/2014/main" id="{C2591586-32C0-ABAD-C48E-CB6F4CF31B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73</xdr:row>
      <xdr:rowOff>0</xdr:rowOff>
    </xdr:from>
    <xdr:to>
      <xdr:col>20</xdr:col>
      <xdr:colOff>0</xdr:colOff>
      <xdr:row>84</xdr:row>
      <xdr:rowOff>0</xdr:rowOff>
    </xdr:to>
    <xdr:graphicFrame macro="">
      <xdr:nvGraphicFramePr>
        <xdr:cNvPr id="5" name="Alcohol vs Stroke">
          <a:extLst>
            <a:ext uri="{FF2B5EF4-FFF2-40B4-BE49-F238E27FC236}">
              <a16:creationId xmlns:a16="http://schemas.microsoft.com/office/drawing/2014/main" id="{B20A31AA-0AF6-D6F8-3359-9006F0B493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73</xdr:row>
      <xdr:rowOff>0</xdr:rowOff>
    </xdr:from>
    <xdr:to>
      <xdr:col>11</xdr:col>
      <xdr:colOff>0</xdr:colOff>
      <xdr:row>84</xdr:row>
      <xdr:rowOff>0</xdr:rowOff>
    </xdr:to>
    <xdr:graphicFrame macro="">
      <xdr:nvGraphicFramePr>
        <xdr:cNvPr id="6" name="Avg Risk by Smoking">
          <a:extLst>
            <a:ext uri="{FF2B5EF4-FFF2-40B4-BE49-F238E27FC236}">
              <a16:creationId xmlns:a16="http://schemas.microsoft.com/office/drawing/2014/main" id="{FBF31D7F-154F-7AC7-4B1C-C922497207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84</xdr:row>
      <xdr:rowOff>190499</xdr:rowOff>
    </xdr:from>
    <xdr:to>
      <xdr:col>11</xdr:col>
      <xdr:colOff>0</xdr:colOff>
      <xdr:row>95</xdr:row>
      <xdr:rowOff>190499</xdr:rowOff>
    </xdr:to>
    <xdr:graphicFrame macro="">
      <xdr:nvGraphicFramePr>
        <xdr:cNvPr id="7" name="Avg Risk by Diet">
          <a:extLst>
            <a:ext uri="{FF2B5EF4-FFF2-40B4-BE49-F238E27FC236}">
              <a16:creationId xmlns:a16="http://schemas.microsoft.com/office/drawing/2014/main" id="{3535EA0A-FF3C-6A7B-748A-8BDFDA5C5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0</xdr:colOff>
      <xdr:row>40</xdr:row>
      <xdr:rowOff>0</xdr:rowOff>
    </xdr:from>
    <xdr:to>
      <xdr:col>20</xdr:col>
      <xdr:colOff>0</xdr:colOff>
      <xdr:row>61</xdr:row>
      <xdr:rowOff>0</xdr:rowOff>
    </xdr:to>
    <xdr:graphicFrame macro="">
      <xdr:nvGraphicFramePr>
        <xdr:cNvPr id="8" name="Medical Risk Comparison">
          <a:extLst>
            <a:ext uri="{FF2B5EF4-FFF2-40B4-BE49-F238E27FC236}">
              <a16:creationId xmlns:a16="http://schemas.microsoft.com/office/drawing/2014/main" id="{1D1CB7BE-9601-95A3-4873-5F66E3A88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0</xdr:colOff>
      <xdr:row>85</xdr:row>
      <xdr:rowOff>0</xdr:rowOff>
    </xdr:from>
    <xdr:to>
      <xdr:col>20</xdr:col>
      <xdr:colOff>0</xdr:colOff>
      <xdr:row>96</xdr:row>
      <xdr:rowOff>0</xdr:rowOff>
    </xdr:to>
    <xdr:graphicFrame macro="">
      <xdr:nvGraphicFramePr>
        <xdr:cNvPr id="9" name="Stroke Cases by Region">
          <a:extLst>
            <a:ext uri="{FF2B5EF4-FFF2-40B4-BE49-F238E27FC236}">
              <a16:creationId xmlns:a16="http://schemas.microsoft.com/office/drawing/2014/main" id="{F836247B-583C-A2D3-035C-3B8F218C46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609599</xdr:colOff>
      <xdr:row>97</xdr:row>
      <xdr:rowOff>0</xdr:rowOff>
    </xdr:from>
    <xdr:to>
      <xdr:col>19</xdr:col>
      <xdr:colOff>685799</xdr:colOff>
      <xdr:row>110</xdr:row>
      <xdr:rowOff>0</xdr:rowOff>
    </xdr:to>
    <xdr:graphicFrame macro="">
      <xdr:nvGraphicFramePr>
        <xdr:cNvPr id="10" name="Risk by Residence">
          <a:extLst>
            <a:ext uri="{FF2B5EF4-FFF2-40B4-BE49-F238E27FC236}">
              <a16:creationId xmlns:a16="http://schemas.microsoft.com/office/drawing/2014/main" id="{52EC7282-08DB-6837-1796-E0798FFDA8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0</xdr:colOff>
      <xdr:row>21</xdr:row>
      <xdr:rowOff>0</xdr:rowOff>
    </xdr:from>
    <xdr:to>
      <xdr:col>11</xdr:col>
      <xdr:colOff>0</xdr:colOff>
      <xdr:row>39</xdr:row>
      <xdr:rowOff>0</xdr:rowOff>
    </xdr:to>
    <xdr:graphicFrame macro="">
      <xdr:nvGraphicFramePr>
        <xdr:cNvPr id="11" name="Avg Risk by Age Group">
          <a:extLst>
            <a:ext uri="{FF2B5EF4-FFF2-40B4-BE49-F238E27FC236}">
              <a16:creationId xmlns:a16="http://schemas.microsoft.com/office/drawing/2014/main" id="{C72FE733-0B5E-D701-2B17-2FBF5D4806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2151D39-D0C3-4B09-9B99-C2D5C1035BCE}" autoFormatId="16" applyNumberFormats="0" applyBorderFormats="0" applyFontFormats="0" applyPatternFormats="0" applyAlignmentFormats="0" applyWidthHeightFormats="0">
  <queryTableRefresh nextId="34" unboundColumnsRight="8">
    <queryTableFields count="32">
      <queryTableField id="1" name="ID" tableColumnId="1"/>
      <queryTableField id="2" name="Data collection date" tableColumnId="2"/>
      <queryTableField id="3" name="Age" tableColumnId="3"/>
      <queryTableField id="4" name="Gender" tableColumnId="4"/>
      <queryTableField id="5" name="Name Initial" tableColumnId="5"/>
      <queryTableField id="7" name="Hypertension" tableColumnId="7"/>
      <queryTableField id="8" name="Heart Disease" tableColumnId="8"/>
      <queryTableField id="9" name="Ever Married" tableColumnId="9"/>
      <queryTableField id="10" name="Work Type" tableColumnId="10"/>
      <queryTableField id="11" name="Residence Type" tableColumnId="11"/>
      <queryTableField id="12" name="Average Glucose Level" tableColumnId="12"/>
      <queryTableField id="13" name="BMI" tableColumnId="13"/>
      <queryTableField id="14" name="Smoking Status" tableColumnId="14"/>
      <queryTableField id="15" name="Physical Activity" tableColumnId="15"/>
      <queryTableField id="16" name="Dietary Habits" tableColumnId="16"/>
      <queryTableField id="17" name="Alcohol Consumption" tableColumnId="17"/>
      <queryTableField id="18" name="Chronic Stress" tableColumnId="18"/>
      <queryTableField id="19" name="Sleep Hours" tableColumnId="19"/>
      <queryTableField id="20" name="Family History of Stroke" tableColumnId="20"/>
      <queryTableField id="21" name="Education Level" tableColumnId="21"/>
      <queryTableField id="22" name="Income Level" tableColumnId="22"/>
      <queryTableField id="23" name="Stroke Risk Score" tableColumnId="23"/>
      <queryTableField id="24" name="Region" tableColumnId="24"/>
      <queryTableField id="25" name="Stroke Occurrence" tableColumnId="25"/>
      <queryTableField id="26" dataBound="0" tableColumnId="26"/>
      <queryTableField id="27" dataBound="0" tableColumnId="27"/>
      <queryTableField id="28" dataBound="0" tableColumnId="28"/>
      <queryTableField id="29" dataBound="0" tableColumnId="29"/>
      <queryTableField id="30" dataBound="0" tableColumnId="30"/>
      <queryTableField id="31" dataBound="0" tableColumnId="31"/>
      <queryTableField id="32" dataBound="0" tableColumnId="32"/>
      <queryTableField id="33" dataBound="0" tableColumnId="33"/>
    </queryTableFields>
    <queryTableDeletedFields count="1">
      <deletedField name="Last Nam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A2D964-DC07-43AE-BDCA-DAD2DEBFEE43}" name="Medical_History" displayName="Medical_History" ref="A1:AF97" tableType="queryTable" totalsRowShown="0">
  <autoFilter ref="A1:AF97" xr:uid="{EDA2D964-DC07-43AE-BDCA-DAD2DEBFEE43}"/>
  <tableColumns count="32">
    <tableColumn id="1" xr3:uid="{9BBD12DF-CBAF-4CEE-9BF4-FED7D4D08B5C}" uniqueName="1" name="ID" queryTableFieldId="1"/>
    <tableColumn id="2" xr3:uid="{B041FF0F-4C41-42CF-B313-20C6CB911A57}" uniqueName="2" name="Data collection date" queryTableFieldId="2" dataDxfId="18"/>
    <tableColumn id="3" xr3:uid="{14A1E2EB-5FE0-4CD4-A626-832D657C4215}" uniqueName="3" name="Age" queryTableFieldId="3"/>
    <tableColumn id="4" xr3:uid="{C9B9C3CE-E4C0-4676-9581-044679EA50BA}" uniqueName="4" name="Gender" queryTableFieldId="4" dataDxfId="17"/>
    <tableColumn id="5" xr3:uid="{6849EB02-00C5-4DF4-86AA-B187844C5085}" uniqueName="5" name="Name" queryTableFieldId="5" dataDxfId="16"/>
    <tableColumn id="7" xr3:uid="{C9ABF8C5-ADEE-4F4D-80BD-AB557DB70BD4}" uniqueName="7" name="Hypertension" queryTableFieldId="7"/>
    <tableColumn id="8" xr3:uid="{8397657F-947D-414A-BE7E-71774203413C}" uniqueName="8" name="Heart Disease" queryTableFieldId="8"/>
    <tableColumn id="9" xr3:uid="{1CE1B9E6-E56C-4988-888A-C07D248D38C7}" uniqueName="9" name="Ever Married" queryTableFieldId="9"/>
    <tableColumn id="10" xr3:uid="{10A00152-9F99-481F-A038-3408E65DF933}" uniqueName="10" name="Work Type" queryTableFieldId="10" dataDxfId="15"/>
    <tableColumn id="11" xr3:uid="{D7C9820C-9696-4121-B24E-D7A14B7DF5D2}" uniqueName="11" name="Residence Type" queryTableFieldId="11" dataDxfId="14"/>
    <tableColumn id="12" xr3:uid="{DD10668E-7D68-493F-A5D7-256609148C4D}" uniqueName="12" name="Average Glucose Level" queryTableFieldId="12"/>
    <tableColumn id="13" xr3:uid="{C92C1FE4-28B2-43E1-B0A7-6B85F0B08BD5}" uniqueName="13" name="BMI" queryTableFieldId="13"/>
    <tableColumn id="14" xr3:uid="{AEB7A6FB-00AF-47C4-A689-84C44D1ACC97}" uniqueName="14" name="Smoking Status" queryTableFieldId="14" dataDxfId="13"/>
    <tableColumn id="15" xr3:uid="{88DFB11B-A6C5-48D9-8CDB-A3143CA72DE2}" uniqueName="15" name="Physical Activity" queryTableFieldId="15" dataDxfId="12"/>
    <tableColumn id="16" xr3:uid="{EDBE5DCA-644F-4E62-A013-6412C701E22B}" uniqueName="16" name="Dietary Habits" queryTableFieldId="16" dataDxfId="11"/>
    <tableColumn id="17" xr3:uid="{49A1A80D-49A9-42AE-8CDF-4E8DA2060408}" uniqueName="17" name="Alcohol Consumption" queryTableFieldId="17"/>
    <tableColumn id="18" xr3:uid="{9B8774E5-994F-4E55-BF14-5BA22DE02F60}" uniqueName="18" name="Chronic Stress" queryTableFieldId="18"/>
    <tableColumn id="19" xr3:uid="{4E7C65E0-9369-4687-80C5-087F33AFE8B3}" uniqueName="19" name="Sleep Hours" queryTableFieldId="19"/>
    <tableColumn id="20" xr3:uid="{F4DADE43-CF86-470C-B3C6-1FAB7E015E96}" uniqueName="20" name="Family History of Stroke" queryTableFieldId="20"/>
    <tableColumn id="21" xr3:uid="{C2D0058C-DC1F-46B1-B7F8-4957B1FC897F}" uniqueName="21" name="Education Level" queryTableFieldId="21" dataDxfId="10"/>
    <tableColumn id="22" xr3:uid="{D60FAC4E-B748-423A-97AE-642DB3782960}" uniqueName="22" name="Income Level" queryTableFieldId="22" dataDxfId="9"/>
    <tableColumn id="23" xr3:uid="{D9C31D8D-8DF5-4417-B96D-D95B34F61773}" uniqueName="23" name="Stroke Risk Score" queryTableFieldId="23"/>
    <tableColumn id="24" xr3:uid="{4AE75AB6-BA32-4BC1-8096-33DF1B9B439C}" uniqueName="24" name="Region" queryTableFieldId="24" dataDxfId="8"/>
    <tableColumn id="25" xr3:uid="{22049EA3-486C-4694-9CC3-1B23D75B3F51}" uniqueName="25" name="Stroke Occurrence" queryTableFieldId="25"/>
    <tableColumn id="26" xr3:uid="{4BB10528-57AE-403A-8EDA-C754CCACAFC1}" uniqueName="26" name="Age Group" queryTableFieldId="26" dataDxfId="7">
      <calculatedColumnFormula>IF(C2&lt;30,"&lt;30",IF(C2&lt;=50,"30-50","50+"))</calculatedColumnFormula>
    </tableColumn>
    <tableColumn id="27" xr3:uid="{2E97F7A1-132D-417F-BB03-F07E39FA0496}" uniqueName="27" name="Risk Level" queryTableFieldId="27" dataDxfId="6">
      <calculatedColumnFormula>IF(V2&gt;=70,"High",IF(V2&gt;=40,"Medium","Low"))</calculatedColumnFormula>
    </tableColumn>
    <tableColumn id="28" xr3:uid="{56615AF0-11C6-4A95-A40E-5335062D9F4B}" uniqueName="28" name="High Risk Flag" queryTableFieldId="28" dataDxfId="5">
      <calculatedColumnFormula>IF(V2&gt;=70,"Yes","No")</calculatedColumnFormula>
    </tableColumn>
    <tableColumn id="29" xr3:uid="{A9C0A5A2-45F5-464C-AC30-6F6BEB53855F}" uniqueName="29" name="Hypertension Label" queryTableFieldId="29" dataDxfId="4">
      <calculatedColumnFormula>IF(F2=1,"Yes","No")</calculatedColumnFormula>
    </tableColumn>
    <tableColumn id="30" xr3:uid="{F2BC9E4E-4EB2-4CDB-A055-665F6031C625}" uniqueName="30" name="Heart Disease Label" queryTableFieldId="30" dataDxfId="3">
      <calculatedColumnFormula>IF(G2=1,"Yes","No")</calculatedColumnFormula>
    </tableColumn>
    <tableColumn id="31" xr3:uid="{308C7327-B732-4E35-8A8D-B12E6DA87830}" uniqueName="31" name="Alcohol Label" queryTableFieldId="31" dataDxfId="2">
      <calculatedColumnFormula>IF(P2=1,"Consumes Alcohol","No Alcohol")</calculatedColumnFormula>
    </tableColumn>
    <tableColumn id="32" xr3:uid="{7AD9E602-0CEA-4407-8AE9-90E8B5947126}" uniqueName="32" name="Stroke Label" queryTableFieldId="32" dataDxfId="1">
      <calculatedColumnFormula>IF(X2=1,"Stroke","No Stroke")</calculatedColumnFormula>
    </tableColumn>
    <tableColumn id="33" xr3:uid="{DF97A870-8FFD-44D0-87E4-238A1B4BA644}" uniqueName="33" name="Search Key" queryTableFieldId="33" dataDxfId="0">
      <calculatedColumnFormula>A2&amp;" - "&amp;E2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6" Type="http://schemas.microsoft.com/office/2011/relationships/webextension" Target="webextension6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  <wetp:taskpane dockstate="right" visibility="0" width="350" row="8">
    <wetp:webextensionref xmlns:r="http://schemas.openxmlformats.org/officeDocument/2006/relationships" r:id="rId2"/>
  </wetp:taskpane>
  <wetp:taskpane dockstate="right" visibility="0" width="350" row="8">
    <wetp:webextensionref xmlns:r="http://schemas.openxmlformats.org/officeDocument/2006/relationships" r:id="rId3"/>
  </wetp:taskpane>
  <wetp:taskpane dockstate="right" visibility="0" width="350" row="5">
    <wetp:webextensionref xmlns:r="http://schemas.openxmlformats.org/officeDocument/2006/relationships" r:id="rId4"/>
  </wetp:taskpane>
  <wetp:taskpane dockstate="right" visibility="0" width="350" row="4">
    <wetp:webextensionref xmlns:r="http://schemas.openxmlformats.org/officeDocument/2006/relationships" r:id="rId5"/>
  </wetp:taskpane>
  <wetp:taskpane dockstate="right" visibility="0" width="350" row="9">
    <wetp:webextensionref xmlns:r="http://schemas.openxmlformats.org/officeDocument/2006/relationships" r:id="rId6"/>
  </wetp:taskpane>
</wetp:taskpanes>
</file>

<file path=xl/webextensions/webextension1.xml><?xml version="1.0" encoding="utf-8"?>
<we:webextension xmlns:we="http://schemas.microsoft.com/office/webextensions/webextension/2010/11" id="{4F629650-F39A-4634-8FDA-E395981C6C3B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16ebb89c-44b8-4625-baeb-7f386a8b141d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EA47E9BF-2363-495E-A712-68D6B28845A6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MAg9oR7um6_dhRPgo3-OH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3.xml><?xml version="1.0" encoding="utf-8"?>
<we:webextension xmlns:we="http://schemas.microsoft.com/office/webextensions/webextension/2010/11" id="{1677AA18-E4D5-491E-A35B-3FC6C241EA6C}">
  <we:reference id="wa200005669" version="2.0.0.0" store="en-US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1B5ADC7A-ABEE-433A-899D-437EAB52133F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2419dd27-fe1f-47d5-ba68-0cbaf781485e&quot;"/>
  </we:properties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010EC81E-A2C4-4905-84A8-FB4DEAEBE687}">
  <we:reference id="wa200010215" version="2.0.0.0" store="en-US" storeType="OMEX"/>
  <we:alternateReferences>
    <we:reference id="WA200010215" version="2.0.0.0" store="WA200010215" storeType="OMEX"/>
  </we:alternateReferences>
  <we:properties/>
  <we:bindings/>
  <we:snapshot xmlns:r="http://schemas.openxmlformats.org/officeDocument/2006/relationships"/>
</we:webextension>
</file>

<file path=xl/webextensions/webextension6.xml><?xml version="1.0" encoding="utf-8"?>
<we:webextension xmlns:we="http://schemas.microsoft.com/office/webextensions/webextension/2010/11" id="{2AF33EC9-EE59-49A5-9645-E56AED4012C4}">
  <we:reference id="wa200008478" version="1.0.0.2" store="en-US" storeType="OMEX"/>
  <we:alternateReferences>
    <we:reference id="WA200008478" version="1.0.0.2" store="WA200008478" storeType="OMEX"/>
  </we:alternateReferences>
  <we:properties>
    <we:property name="Office.ForceRefreshCustomFunctionsCache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7E535-8C85-4993-A351-A91C3BD44864}">
  <sheetPr>
    <tabColor rgb="FF6B7280"/>
  </sheetPr>
  <dimension ref="A1:AF97"/>
  <sheetViews>
    <sheetView topLeftCell="Y1" workbookViewId="0">
      <selection activeCell="F11" sqref="F11"/>
    </sheetView>
  </sheetViews>
  <sheetFormatPr defaultRowHeight="15" x14ac:dyDescent="0.25"/>
  <cols>
    <col min="1" max="1" width="5.140625" bestFit="1" customWidth="1"/>
    <col min="2" max="2" width="21.140625" bestFit="1" customWidth="1"/>
    <col min="3" max="3" width="6.7109375" bestFit="1" customWidth="1"/>
    <col min="4" max="4" width="10" bestFit="1" customWidth="1"/>
    <col min="5" max="5" width="13.42578125" bestFit="1" customWidth="1"/>
    <col min="6" max="6" width="15.42578125" bestFit="1" customWidth="1"/>
    <col min="7" max="7" width="15.5703125" bestFit="1" customWidth="1"/>
    <col min="8" max="8" width="14.7109375" bestFit="1" customWidth="1"/>
    <col min="9" max="9" width="14.28515625" bestFit="1" customWidth="1"/>
    <col min="10" max="10" width="17.28515625" bestFit="1" customWidth="1"/>
    <col min="11" max="11" width="23.7109375" bestFit="1" customWidth="1"/>
    <col min="12" max="12" width="6.85546875" bestFit="1" customWidth="1"/>
    <col min="13" max="13" width="16.85546875" bestFit="1" customWidth="1"/>
    <col min="14" max="14" width="17.7109375" bestFit="1" customWidth="1"/>
    <col min="15" max="15" width="15.85546875" bestFit="1" customWidth="1"/>
    <col min="16" max="16" width="22.5703125" bestFit="1" customWidth="1"/>
    <col min="17" max="17" width="15.85546875" bestFit="1" customWidth="1"/>
    <col min="18" max="18" width="13.85546875" bestFit="1" customWidth="1"/>
    <col min="19" max="19" width="24.7109375" bestFit="1" customWidth="1"/>
    <col min="20" max="20" width="17.28515625" bestFit="1" customWidth="1"/>
    <col min="21" max="21" width="15" bestFit="1" customWidth="1"/>
    <col min="22" max="22" width="18.42578125" bestFit="1" customWidth="1"/>
    <col min="23" max="23" width="9.42578125" bestFit="1" customWidth="1"/>
    <col min="24" max="24" width="19.7109375" bestFit="1" customWidth="1"/>
    <col min="25" max="25" width="12.7109375" bestFit="1" customWidth="1"/>
    <col min="26" max="26" width="12" bestFit="1" customWidth="1"/>
    <col min="27" max="27" width="15.42578125" bestFit="1" customWidth="1"/>
    <col min="28" max="28" width="20.7109375" bestFit="1" customWidth="1"/>
    <col min="29" max="29" width="20.85546875" bestFit="1" customWidth="1"/>
    <col min="30" max="30" width="17.5703125" bestFit="1" customWidth="1"/>
    <col min="31" max="31" width="14.140625" bestFit="1" customWidth="1"/>
    <col min="32" max="32" width="17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55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s="2" t="s">
        <v>156</v>
      </c>
      <c r="Z1" s="2" t="s">
        <v>157</v>
      </c>
      <c r="AA1" s="2" t="s">
        <v>158</v>
      </c>
      <c r="AB1" s="2" t="s">
        <v>159</v>
      </c>
      <c r="AC1" s="2" t="s">
        <v>160</v>
      </c>
      <c r="AD1" s="2" t="s">
        <v>161</v>
      </c>
      <c r="AE1" s="2" t="s">
        <v>162</v>
      </c>
      <c r="AF1" s="2" t="s">
        <v>163</v>
      </c>
    </row>
    <row r="2" spans="1:32" x14ac:dyDescent="0.25">
      <c r="A2">
        <v>1</v>
      </c>
      <c r="B2" s="1">
        <v>45402</v>
      </c>
      <c r="C2">
        <v>78</v>
      </c>
      <c r="D2" t="s">
        <v>23</v>
      </c>
      <c r="E2" t="s">
        <v>56</v>
      </c>
      <c r="F2">
        <v>0</v>
      </c>
      <c r="G2">
        <v>0</v>
      </c>
      <c r="H2">
        <v>1</v>
      </c>
      <c r="I2" t="s">
        <v>24</v>
      </c>
      <c r="J2" t="s">
        <v>25</v>
      </c>
      <c r="K2">
        <v>267.3</v>
      </c>
      <c r="L2">
        <v>36.200000000000003</v>
      </c>
      <c r="M2" t="s">
        <v>26</v>
      </c>
      <c r="N2" t="s">
        <v>27</v>
      </c>
      <c r="O2" t="s">
        <v>28</v>
      </c>
      <c r="P2">
        <v>0</v>
      </c>
      <c r="Q2">
        <v>0</v>
      </c>
      <c r="R2">
        <v>11</v>
      </c>
      <c r="S2">
        <v>0</v>
      </c>
      <c r="T2" t="s">
        <v>29</v>
      </c>
      <c r="U2" t="s">
        <v>30</v>
      </c>
      <c r="V2">
        <v>88</v>
      </c>
      <c r="W2" t="s">
        <v>31</v>
      </c>
      <c r="X2">
        <v>0</v>
      </c>
      <c r="Y2" t="str">
        <f t="shared" ref="Y2:Y33" si="0">IF(C2&lt;30,"&lt;30",IF(C2&lt;=50,"30-50","50+"))</f>
        <v>50+</v>
      </c>
      <c r="Z2" t="str">
        <f t="shared" ref="Z2:Z33" si="1">IF(V2&gt;=70,"High",IF(V2&gt;=40,"Medium","Low"))</f>
        <v>High</v>
      </c>
      <c r="AA2" t="str">
        <f t="shared" ref="AA2:AA33" si="2">IF(V2&gt;=70,"Yes","No")</f>
        <v>Yes</v>
      </c>
      <c r="AB2" t="str">
        <f t="shared" ref="AB2:AB33" si="3">IF(F2=1,"Yes","No")</f>
        <v>No</v>
      </c>
      <c r="AC2" t="str">
        <f t="shared" ref="AC2:AC33" si="4">IF(G2=1,"Yes","No")</f>
        <v>No</v>
      </c>
      <c r="AD2" t="str">
        <f t="shared" ref="AD2:AD33" si="5">IF(P2=1,"Consumes Alcohol","No Alcohol")</f>
        <v>No Alcohol</v>
      </c>
      <c r="AE2" t="str">
        <f t="shared" ref="AE2:AE33" si="6">IF(X2=1,"Stroke","No Stroke")</f>
        <v>No Stroke</v>
      </c>
      <c r="AF2" t="str">
        <f t="shared" ref="AF2:AF33" si="7">A2&amp;" - "&amp;E2</f>
        <v>1 - A Roy</v>
      </c>
    </row>
    <row r="3" spans="1:32" x14ac:dyDescent="0.25">
      <c r="A3">
        <v>2</v>
      </c>
      <c r="B3" s="1">
        <v>45402</v>
      </c>
      <c r="C3">
        <v>60</v>
      </c>
      <c r="D3" t="s">
        <v>23</v>
      </c>
      <c r="E3" t="s">
        <v>57</v>
      </c>
      <c r="F3">
        <v>0</v>
      </c>
      <c r="G3">
        <v>0</v>
      </c>
      <c r="H3">
        <v>0</v>
      </c>
      <c r="I3" t="s">
        <v>24</v>
      </c>
      <c r="J3" t="s">
        <v>25</v>
      </c>
      <c r="K3">
        <v>207.24</v>
      </c>
      <c r="L3">
        <v>19.8</v>
      </c>
      <c r="M3" t="s">
        <v>32</v>
      </c>
      <c r="N3" t="s">
        <v>33</v>
      </c>
      <c r="O3" t="s">
        <v>34</v>
      </c>
      <c r="P3">
        <v>0</v>
      </c>
      <c r="Q3">
        <v>0</v>
      </c>
      <c r="R3">
        <v>9</v>
      </c>
      <c r="S3">
        <v>0</v>
      </c>
      <c r="T3" t="s">
        <v>35</v>
      </c>
      <c r="U3" t="s">
        <v>36</v>
      </c>
      <c r="V3">
        <v>56</v>
      </c>
      <c r="W3" t="s">
        <v>37</v>
      </c>
      <c r="X3">
        <v>0</v>
      </c>
      <c r="Y3" t="str">
        <f t="shared" si="0"/>
        <v>50+</v>
      </c>
      <c r="Z3" t="str">
        <f t="shared" si="1"/>
        <v>Medium</v>
      </c>
      <c r="AA3" t="str">
        <f t="shared" si="2"/>
        <v>No</v>
      </c>
      <c r="AB3" t="str">
        <f t="shared" si="3"/>
        <v>No</v>
      </c>
      <c r="AC3" t="str">
        <f t="shared" si="4"/>
        <v>No</v>
      </c>
      <c r="AD3" t="str">
        <f t="shared" si="5"/>
        <v>No Alcohol</v>
      </c>
      <c r="AE3" t="str">
        <f t="shared" si="6"/>
        <v>No Stroke</v>
      </c>
      <c r="AF3" t="str">
        <f t="shared" si="7"/>
        <v>2 - A Shenoy</v>
      </c>
    </row>
    <row r="4" spans="1:32" x14ac:dyDescent="0.25">
      <c r="A4">
        <v>3</v>
      </c>
      <c r="B4" s="1">
        <v>45402</v>
      </c>
      <c r="C4">
        <v>69</v>
      </c>
      <c r="D4" t="s">
        <v>38</v>
      </c>
      <c r="E4" t="s">
        <v>58</v>
      </c>
      <c r="F4">
        <v>0</v>
      </c>
      <c r="G4">
        <v>0</v>
      </c>
      <c r="H4">
        <v>0</v>
      </c>
      <c r="I4" t="s">
        <v>24</v>
      </c>
      <c r="J4" t="s">
        <v>39</v>
      </c>
      <c r="K4">
        <v>161.30000000000001</v>
      </c>
      <c r="L4">
        <v>34.5</v>
      </c>
      <c r="M4" t="s">
        <v>32</v>
      </c>
      <c r="N4" t="s">
        <v>27</v>
      </c>
      <c r="O4" t="s">
        <v>40</v>
      </c>
      <c r="P4">
        <v>1</v>
      </c>
      <c r="Q4">
        <v>0</v>
      </c>
      <c r="R4">
        <v>3</v>
      </c>
      <c r="S4">
        <v>0</v>
      </c>
      <c r="T4" t="s">
        <v>35</v>
      </c>
      <c r="U4" t="s">
        <v>36</v>
      </c>
      <c r="V4">
        <v>63</v>
      </c>
      <c r="W4" t="s">
        <v>41</v>
      </c>
      <c r="X4">
        <v>1</v>
      </c>
      <c r="Y4" t="str">
        <f t="shared" si="0"/>
        <v>50+</v>
      </c>
      <c r="Z4" t="str">
        <f t="shared" si="1"/>
        <v>Medium</v>
      </c>
      <c r="AA4" t="str">
        <f t="shared" si="2"/>
        <v>No</v>
      </c>
      <c r="AB4" t="str">
        <f t="shared" si="3"/>
        <v>No</v>
      </c>
      <c r="AC4" t="str">
        <f t="shared" si="4"/>
        <v>No</v>
      </c>
      <c r="AD4" t="str">
        <f t="shared" si="5"/>
        <v>Consumes Alcohol</v>
      </c>
      <c r="AE4" t="str">
        <f t="shared" si="6"/>
        <v>Stroke</v>
      </c>
      <c r="AF4" t="str">
        <f t="shared" si="7"/>
        <v>3 - S Geloy</v>
      </c>
    </row>
    <row r="5" spans="1:32" x14ac:dyDescent="0.25">
      <c r="A5">
        <v>4</v>
      </c>
      <c r="B5" s="1">
        <v>45402</v>
      </c>
      <c r="C5">
        <v>43</v>
      </c>
      <c r="D5" t="s">
        <v>38</v>
      </c>
      <c r="E5" t="s">
        <v>59</v>
      </c>
      <c r="F5">
        <v>0</v>
      </c>
      <c r="G5">
        <v>0</v>
      </c>
      <c r="H5">
        <v>1</v>
      </c>
      <c r="I5" t="s">
        <v>42</v>
      </c>
      <c r="J5" t="s">
        <v>39</v>
      </c>
      <c r="K5">
        <v>247.49</v>
      </c>
      <c r="L5">
        <v>48.8</v>
      </c>
      <c r="M5" t="s">
        <v>32</v>
      </c>
      <c r="N5" t="s">
        <v>43</v>
      </c>
      <c r="O5" t="s">
        <v>40</v>
      </c>
      <c r="P5">
        <v>0</v>
      </c>
      <c r="Q5">
        <v>1</v>
      </c>
      <c r="R5">
        <v>4</v>
      </c>
      <c r="S5">
        <v>0</v>
      </c>
      <c r="T5" t="s">
        <v>29</v>
      </c>
      <c r="U5" t="s">
        <v>30</v>
      </c>
      <c r="V5">
        <v>93</v>
      </c>
      <c r="W5" t="s">
        <v>31</v>
      </c>
      <c r="X5">
        <v>0</v>
      </c>
      <c r="Y5" t="str">
        <f t="shared" si="0"/>
        <v>30-50</v>
      </c>
      <c r="Z5" t="str">
        <f t="shared" si="1"/>
        <v>High</v>
      </c>
      <c r="AA5" t="str">
        <f t="shared" si="2"/>
        <v>Yes</v>
      </c>
      <c r="AB5" t="str">
        <f t="shared" si="3"/>
        <v>No</v>
      </c>
      <c r="AC5" t="str">
        <f t="shared" si="4"/>
        <v>No</v>
      </c>
      <c r="AD5" t="str">
        <f t="shared" si="5"/>
        <v>No Alcohol</v>
      </c>
      <c r="AE5" t="str">
        <f t="shared" si="6"/>
        <v>No Stroke</v>
      </c>
      <c r="AF5" t="str">
        <f t="shared" si="7"/>
        <v>4 - G Messy</v>
      </c>
    </row>
    <row r="6" spans="1:32" x14ac:dyDescent="0.25">
      <c r="A6">
        <v>5</v>
      </c>
      <c r="B6" s="1">
        <v>45403</v>
      </c>
      <c r="C6">
        <v>30</v>
      </c>
      <c r="D6" t="s">
        <v>23</v>
      </c>
      <c r="E6" t="s">
        <v>60</v>
      </c>
      <c r="F6">
        <v>0</v>
      </c>
      <c r="G6">
        <v>0</v>
      </c>
      <c r="H6">
        <v>1</v>
      </c>
      <c r="I6" t="s">
        <v>44</v>
      </c>
      <c r="J6" t="s">
        <v>39</v>
      </c>
      <c r="K6">
        <v>116.57</v>
      </c>
      <c r="L6">
        <v>31.3</v>
      </c>
      <c r="M6" t="s">
        <v>26</v>
      </c>
      <c r="N6" t="s">
        <v>33</v>
      </c>
      <c r="O6" t="s">
        <v>40</v>
      </c>
      <c r="P6">
        <v>0</v>
      </c>
      <c r="Q6">
        <v>1</v>
      </c>
      <c r="R6">
        <v>9</v>
      </c>
      <c r="S6">
        <v>0</v>
      </c>
      <c r="T6" t="s">
        <v>35</v>
      </c>
      <c r="U6" t="s">
        <v>36</v>
      </c>
      <c r="V6">
        <v>99</v>
      </c>
      <c r="W6" t="s">
        <v>45</v>
      </c>
      <c r="X6">
        <v>0</v>
      </c>
      <c r="Y6" t="str">
        <f t="shared" si="0"/>
        <v>30-50</v>
      </c>
      <c r="Z6" t="str">
        <f t="shared" si="1"/>
        <v>High</v>
      </c>
      <c r="AA6" t="str">
        <f t="shared" si="2"/>
        <v>Yes</v>
      </c>
      <c r="AB6" t="str">
        <f t="shared" si="3"/>
        <v>No</v>
      </c>
      <c r="AC6" t="str">
        <f t="shared" si="4"/>
        <v>No</v>
      </c>
      <c r="AD6" t="str">
        <f t="shared" si="5"/>
        <v>No Alcohol</v>
      </c>
      <c r="AE6" t="str">
        <f t="shared" si="6"/>
        <v>No Stroke</v>
      </c>
      <c r="AF6" t="str">
        <f t="shared" si="7"/>
        <v>5 - B Bern</v>
      </c>
    </row>
    <row r="7" spans="1:32" x14ac:dyDescent="0.25">
      <c r="A7">
        <v>6</v>
      </c>
      <c r="B7" s="1">
        <v>45404</v>
      </c>
      <c r="C7">
        <v>53</v>
      </c>
      <c r="D7" t="s">
        <v>38</v>
      </c>
      <c r="E7" t="s">
        <v>61</v>
      </c>
      <c r="F7">
        <v>1</v>
      </c>
      <c r="G7">
        <v>0</v>
      </c>
      <c r="H7">
        <v>1</v>
      </c>
      <c r="I7" t="s">
        <v>44</v>
      </c>
      <c r="J7" t="s">
        <v>39</v>
      </c>
      <c r="K7">
        <v>220.62</v>
      </c>
      <c r="L7">
        <v>49.9</v>
      </c>
      <c r="M7" t="s">
        <v>32</v>
      </c>
      <c r="N7" t="s">
        <v>43</v>
      </c>
      <c r="O7" t="s">
        <v>28</v>
      </c>
      <c r="P7">
        <v>0</v>
      </c>
      <c r="Q7">
        <v>1</v>
      </c>
      <c r="R7">
        <v>7</v>
      </c>
      <c r="S7">
        <v>0</v>
      </c>
      <c r="T7" t="s">
        <v>46</v>
      </c>
      <c r="U7" t="s">
        <v>47</v>
      </c>
      <c r="V7">
        <v>56</v>
      </c>
      <c r="W7" t="s">
        <v>41</v>
      </c>
      <c r="X7">
        <v>0</v>
      </c>
      <c r="Y7" t="str">
        <f t="shared" si="0"/>
        <v>50+</v>
      </c>
      <c r="Z7" t="str">
        <f t="shared" si="1"/>
        <v>Medium</v>
      </c>
      <c r="AA7" t="str">
        <f t="shared" si="2"/>
        <v>No</v>
      </c>
      <c r="AB7" t="str">
        <f t="shared" si="3"/>
        <v>Yes</v>
      </c>
      <c r="AC7" t="str">
        <f t="shared" si="4"/>
        <v>No</v>
      </c>
      <c r="AD7" t="str">
        <f t="shared" si="5"/>
        <v>No Alcohol</v>
      </c>
      <c r="AE7" t="str">
        <f t="shared" si="6"/>
        <v>No Stroke</v>
      </c>
      <c r="AF7" t="str">
        <f t="shared" si="7"/>
        <v>6 - S Bush</v>
      </c>
    </row>
    <row r="8" spans="1:32" x14ac:dyDescent="0.25">
      <c r="A8">
        <v>7</v>
      </c>
      <c r="B8" s="1">
        <v>45404</v>
      </c>
      <c r="C8">
        <v>83</v>
      </c>
      <c r="D8" t="s">
        <v>23</v>
      </c>
      <c r="E8" t="s">
        <v>62</v>
      </c>
      <c r="F8">
        <v>0</v>
      </c>
      <c r="G8">
        <v>0</v>
      </c>
      <c r="H8">
        <v>0</v>
      </c>
      <c r="I8" t="s">
        <v>48</v>
      </c>
      <c r="J8" t="s">
        <v>39</v>
      </c>
      <c r="K8">
        <v>193.32</v>
      </c>
      <c r="L8">
        <v>46.8</v>
      </c>
      <c r="M8" t="s">
        <v>32</v>
      </c>
      <c r="N8" t="s">
        <v>27</v>
      </c>
      <c r="O8" t="s">
        <v>34</v>
      </c>
      <c r="P8">
        <v>0</v>
      </c>
      <c r="Q8">
        <v>0</v>
      </c>
      <c r="R8">
        <v>5</v>
      </c>
      <c r="S8">
        <v>0</v>
      </c>
      <c r="T8" t="s">
        <v>35</v>
      </c>
      <c r="U8" t="s">
        <v>36</v>
      </c>
      <c r="V8">
        <v>87</v>
      </c>
      <c r="W8" t="s">
        <v>31</v>
      </c>
      <c r="X8">
        <v>0</v>
      </c>
      <c r="Y8" t="str">
        <f t="shared" si="0"/>
        <v>50+</v>
      </c>
      <c r="Z8" t="str">
        <f t="shared" si="1"/>
        <v>High</v>
      </c>
      <c r="AA8" t="str">
        <f t="shared" si="2"/>
        <v>Yes</v>
      </c>
      <c r="AB8" t="str">
        <f t="shared" si="3"/>
        <v>No</v>
      </c>
      <c r="AC8" t="str">
        <f t="shared" si="4"/>
        <v>No</v>
      </c>
      <c r="AD8" t="str">
        <f t="shared" si="5"/>
        <v>No Alcohol</v>
      </c>
      <c r="AE8" t="str">
        <f t="shared" si="6"/>
        <v>No Stroke</v>
      </c>
      <c r="AF8" t="str">
        <f t="shared" si="7"/>
        <v>7 - W Bern</v>
      </c>
    </row>
    <row r="9" spans="1:32" x14ac:dyDescent="0.25">
      <c r="A9">
        <v>8</v>
      </c>
      <c r="B9" s="1">
        <v>45404</v>
      </c>
      <c r="C9">
        <v>43</v>
      </c>
      <c r="D9" t="s">
        <v>23</v>
      </c>
      <c r="E9" t="s">
        <v>63</v>
      </c>
      <c r="F9">
        <v>0</v>
      </c>
      <c r="G9">
        <v>0</v>
      </c>
      <c r="H9">
        <v>0</v>
      </c>
      <c r="I9" t="s">
        <v>42</v>
      </c>
      <c r="J9" t="s">
        <v>39</v>
      </c>
      <c r="K9">
        <v>198.59</v>
      </c>
      <c r="L9">
        <v>23.3</v>
      </c>
      <c r="M9" t="s">
        <v>32</v>
      </c>
      <c r="N9" t="s">
        <v>33</v>
      </c>
      <c r="O9" t="s">
        <v>40</v>
      </c>
      <c r="P9">
        <v>0</v>
      </c>
      <c r="Q9">
        <v>0</v>
      </c>
      <c r="R9">
        <v>10</v>
      </c>
      <c r="S9">
        <v>0</v>
      </c>
      <c r="T9" t="s">
        <v>49</v>
      </c>
      <c r="U9" t="s">
        <v>47</v>
      </c>
      <c r="V9">
        <v>5</v>
      </c>
      <c r="W9" t="s">
        <v>41</v>
      </c>
      <c r="X9">
        <v>0</v>
      </c>
      <c r="Y9" t="str">
        <f t="shared" si="0"/>
        <v>30-50</v>
      </c>
      <c r="Z9" t="str">
        <f t="shared" si="1"/>
        <v>Low</v>
      </c>
      <c r="AA9" t="str">
        <f t="shared" si="2"/>
        <v>No</v>
      </c>
      <c r="AB9" t="str">
        <f t="shared" si="3"/>
        <v>No</v>
      </c>
      <c r="AC9" t="str">
        <f t="shared" si="4"/>
        <v>No</v>
      </c>
      <c r="AD9" t="str">
        <f t="shared" si="5"/>
        <v>No Alcohol</v>
      </c>
      <c r="AE9" t="str">
        <f t="shared" si="6"/>
        <v>No Stroke</v>
      </c>
      <c r="AF9" t="str">
        <f t="shared" si="7"/>
        <v>8 - N Jordan</v>
      </c>
    </row>
    <row r="10" spans="1:32" x14ac:dyDescent="0.25">
      <c r="A10">
        <v>9</v>
      </c>
      <c r="B10" s="1">
        <v>45404</v>
      </c>
      <c r="C10">
        <v>62</v>
      </c>
      <c r="D10" t="s">
        <v>38</v>
      </c>
      <c r="E10" t="s">
        <v>64</v>
      </c>
      <c r="F10">
        <v>1</v>
      </c>
      <c r="G10">
        <v>0</v>
      </c>
      <c r="H10">
        <v>0</v>
      </c>
      <c r="I10" t="s">
        <v>48</v>
      </c>
      <c r="J10" t="s">
        <v>25</v>
      </c>
      <c r="K10">
        <v>117.81</v>
      </c>
      <c r="L10">
        <v>16.5</v>
      </c>
      <c r="M10" t="s">
        <v>50</v>
      </c>
      <c r="N10" t="s">
        <v>27</v>
      </c>
      <c r="O10" t="s">
        <v>28</v>
      </c>
      <c r="P10">
        <v>1</v>
      </c>
      <c r="Q10">
        <v>0</v>
      </c>
      <c r="R10">
        <v>8</v>
      </c>
      <c r="S10">
        <v>1</v>
      </c>
      <c r="T10" t="s">
        <v>35</v>
      </c>
      <c r="U10" t="s">
        <v>47</v>
      </c>
      <c r="V10">
        <v>98</v>
      </c>
      <c r="W10" t="s">
        <v>37</v>
      </c>
      <c r="X10">
        <v>0</v>
      </c>
      <c r="Y10" t="str">
        <f t="shared" si="0"/>
        <v>50+</v>
      </c>
      <c r="Z10" t="str">
        <f t="shared" si="1"/>
        <v>High</v>
      </c>
      <c r="AA10" t="str">
        <f t="shared" si="2"/>
        <v>Yes</v>
      </c>
      <c r="AB10" t="str">
        <f t="shared" si="3"/>
        <v>Yes</v>
      </c>
      <c r="AC10" t="str">
        <f t="shared" si="4"/>
        <v>No</v>
      </c>
      <c r="AD10" t="str">
        <f t="shared" si="5"/>
        <v>Consumes Alcohol</v>
      </c>
      <c r="AE10" t="str">
        <f t="shared" si="6"/>
        <v>No Stroke</v>
      </c>
      <c r="AF10" t="str">
        <f t="shared" si="7"/>
        <v>9 - M Jordan</v>
      </c>
    </row>
    <row r="11" spans="1:32" x14ac:dyDescent="0.25">
      <c r="A11">
        <v>10</v>
      </c>
      <c r="B11" s="1">
        <v>45404</v>
      </c>
      <c r="C11">
        <v>35</v>
      </c>
      <c r="D11" t="s">
        <v>38</v>
      </c>
      <c r="E11" t="s">
        <v>65</v>
      </c>
      <c r="F11">
        <v>0</v>
      </c>
      <c r="G11">
        <v>0</v>
      </c>
      <c r="H11">
        <v>0</v>
      </c>
      <c r="I11" t="s">
        <v>44</v>
      </c>
      <c r="J11" t="s">
        <v>39</v>
      </c>
      <c r="K11">
        <v>289.08999999999997</v>
      </c>
      <c r="L11">
        <v>37</v>
      </c>
      <c r="M11" t="s">
        <v>32</v>
      </c>
      <c r="N11" t="s">
        <v>33</v>
      </c>
      <c r="O11" t="s">
        <v>34</v>
      </c>
      <c r="P11">
        <v>0</v>
      </c>
      <c r="Q11">
        <v>0</v>
      </c>
      <c r="R11">
        <v>8</v>
      </c>
      <c r="S11">
        <v>0</v>
      </c>
      <c r="T11" t="s">
        <v>29</v>
      </c>
      <c r="U11" t="s">
        <v>30</v>
      </c>
      <c r="V11">
        <v>94</v>
      </c>
      <c r="W11" t="s">
        <v>37</v>
      </c>
      <c r="X11">
        <v>0</v>
      </c>
      <c r="Y11" t="str">
        <f t="shared" si="0"/>
        <v>30-50</v>
      </c>
      <c r="Z11" t="str">
        <f t="shared" si="1"/>
        <v>High</v>
      </c>
      <c r="AA11" t="str">
        <f t="shared" si="2"/>
        <v>Yes</v>
      </c>
      <c r="AB11" t="str">
        <f t="shared" si="3"/>
        <v>No</v>
      </c>
      <c r="AC11" t="str">
        <f t="shared" si="4"/>
        <v>No</v>
      </c>
      <c r="AD11" t="str">
        <f t="shared" si="5"/>
        <v>No Alcohol</v>
      </c>
      <c r="AE11" t="str">
        <f t="shared" si="6"/>
        <v>No Stroke</v>
      </c>
      <c r="AF11" t="str">
        <f t="shared" si="7"/>
        <v>10 - A Sundar</v>
      </c>
    </row>
    <row r="12" spans="1:32" x14ac:dyDescent="0.25">
      <c r="A12">
        <v>11</v>
      </c>
      <c r="B12" s="1">
        <v>45408</v>
      </c>
      <c r="C12">
        <v>83</v>
      </c>
      <c r="D12" t="s">
        <v>38</v>
      </c>
      <c r="E12" t="s">
        <v>66</v>
      </c>
      <c r="F12">
        <v>0</v>
      </c>
      <c r="G12">
        <v>0</v>
      </c>
      <c r="H12">
        <v>1</v>
      </c>
      <c r="I12" t="s">
        <v>24</v>
      </c>
      <c r="J12" t="s">
        <v>39</v>
      </c>
      <c r="K12">
        <v>150.86000000000001</v>
      </c>
      <c r="L12">
        <v>34.299999999999997</v>
      </c>
      <c r="M12" t="s">
        <v>32</v>
      </c>
      <c r="N12" t="s">
        <v>51</v>
      </c>
      <c r="O12" t="s">
        <v>28</v>
      </c>
      <c r="P12">
        <v>0</v>
      </c>
      <c r="Q12">
        <v>0</v>
      </c>
      <c r="R12">
        <v>4</v>
      </c>
      <c r="S12">
        <v>0</v>
      </c>
      <c r="T12" t="s">
        <v>49</v>
      </c>
      <c r="U12" t="s">
        <v>30</v>
      </c>
      <c r="V12">
        <v>31</v>
      </c>
      <c r="W12" t="s">
        <v>31</v>
      </c>
      <c r="X12">
        <v>0</v>
      </c>
      <c r="Y12" t="str">
        <f t="shared" si="0"/>
        <v>50+</v>
      </c>
      <c r="Z12" t="str">
        <f t="shared" si="1"/>
        <v>Low</v>
      </c>
      <c r="AA12" t="str">
        <f t="shared" si="2"/>
        <v>No</v>
      </c>
      <c r="AB12" t="str">
        <f t="shared" si="3"/>
        <v>No</v>
      </c>
      <c r="AC12" t="str">
        <f t="shared" si="4"/>
        <v>No</v>
      </c>
      <c r="AD12" t="str">
        <f t="shared" si="5"/>
        <v>No Alcohol</v>
      </c>
      <c r="AE12" t="str">
        <f t="shared" si="6"/>
        <v>No Stroke</v>
      </c>
      <c r="AF12" t="str">
        <f t="shared" si="7"/>
        <v>11 - L Armstrong</v>
      </c>
    </row>
    <row r="13" spans="1:32" x14ac:dyDescent="0.25">
      <c r="A13">
        <v>12</v>
      </c>
      <c r="B13" s="1">
        <v>45409</v>
      </c>
      <c r="C13">
        <v>71</v>
      </c>
      <c r="D13" t="s">
        <v>38</v>
      </c>
      <c r="E13" t="s">
        <v>67</v>
      </c>
      <c r="F13">
        <v>0</v>
      </c>
      <c r="G13">
        <v>0</v>
      </c>
      <c r="H13">
        <v>1</v>
      </c>
      <c r="I13" t="s">
        <v>24</v>
      </c>
      <c r="J13" t="s">
        <v>39</v>
      </c>
      <c r="K13">
        <v>254.9</v>
      </c>
      <c r="L13">
        <v>49.5</v>
      </c>
      <c r="M13" t="s">
        <v>32</v>
      </c>
      <c r="N13" t="s">
        <v>33</v>
      </c>
      <c r="O13" t="s">
        <v>28</v>
      </c>
      <c r="P13">
        <v>0</v>
      </c>
      <c r="Q13">
        <v>0</v>
      </c>
      <c r="R13">
        <v>6</v>
      </c>
      <c r="S13">
        <v>1</v>
      </c>
      <c r="T13" t="s">
        <v>35</v>
      </c>
      <c r="U13" t="s">
        <v>36</v>
      </c>
      <c r="V13">
        <v>30</v>
      </c>
      <c r="W13" t="s">
        <v>31</v>
      </c>
      <c r="X13">
        <v>0</v>
      </c>
      <c r="Y13" t="str">
        <f t="shared" si="0"/>
        <v>50+</v>
      </c>
      <c r="Z13" t="str">
        <f t="shared" si="1"/>
        <v>Low</v>
      </c>
      <c r="AA13" t="str">
        <f t="shared" si="2"/>
        <v>No</v>
      </c>
      <c r="AB13" t="str">
        <f t="shared" si="3"/>
        <v>No</v>
      </c>
      <c r="AC13" t="str">
        <f t="shared" si="4"/>
        <v>No</v>
      </c>
      <c r="AD13" t="str">
        <f t="shared" si="5"/>
        <v>No Alcohol</v>
      </c>
      <c r="AE13" t="str">
        <f t="shared" si="6"/>
        <v>No Stroke</v>
      </c>
      <c r="AF13" t="str">
        <f t="shared" si="7"/>
        <v>12 - M Fritzler</v>
      </c>
    </row>
    <row r="14" spans="1:32" x14ac:dyDescent="0.25">
      <c r="A14">
        <v>13</v>
      </c>
      <c r="B14" s="1">
        <v>45410</v>
      </c>
      <c r="C14">
        <v>79</v>
      </c>
      <c r="D14" t="s">
        <v>38</v>
      </c>
      <c r="E14" t="s">
        <v>68</v>
      </c>
      <c r="F14">
        <v>0</v>
      </c>
      <c r="G14">
        <v>0</v>
      </c>
      <c r="H14">
        <v>0</v>
      </c>
      <c r="I14" t="s">
        <v>52</v>
      </c>
      <c r="J14" t="s">
        <v>25</v>
      </c>
      <c r="K14">
        <v>164.44</v>
      </c>
      <c r="L14">
        <v>11.4</v>
      </c>
      <c r="M14" t="s">
        <v>32</v>
      </c>
      <c r="N14" t="s">
        <v>27</v>
      </c>
      <c r="O14" t="s">
        <v>28</v>
      </c>
      <c r="P14">
        <v>0</v>
      </c>
      <c r="Q14">
        <v>0</v>
      </c>
      <c r="R14">
        <v>10</v>
      </c>
      <c r="S14">
        <v>0</v>
      </c>
      <c r="T14" t="s">
        <v>35</v>
      </c>
      <c r="U14" t="s">
        <v>47</v>
      </c>
      <c r="V14">
        <v>72</v>
      </c>
      <c r="W14" t="s">
        <v>31</v>
      </c>
      <c r="X14">
        <v>0</v>
      </c>
      <c r="Y14" t="str">
        <f t="shared" si="0"/>
        <v>50+</v>
      </c>
      <c r="Z14" t="str">
        <f t="shared" si="1"/>
        <v>High</v>
      </c>
      <c r="AA14" t="str">
        <f t="shared" si="2"/>
        <v>Yes</v>
      </c>
      <c r="AB14" t="str">
        <f t="shared" si="3"/>
        <v>No</v>
      </c>
      <c r="AC14" t="str">
        <f t="shared" si="4"/>
        <v>No</v>
      </c>
      <c r="AD14" t="str">
        <f t="shared" si="5"/>
        <v>No Alcohol</v>
      </c>
      <c r="AE14" t="str">
        <f t="shared" si="6"/>
        <v>No Stroke</v>
      </c>
      <c r="AF14" t="str">
        <f t="shared" si="7"/>
        <v>13 - K Black</v>
      </c>
    </row>
    <row r="15" spans="1:32" x14ac:dyDescent="0.25">
      <c r="A15">
        <v>14</v>
      </c>
      <c r="B15" s="1">
        <v>45411</v>
      </c>
      <c r="C15">
        <v>50</v>
      </c>
      <c r="D15" t="s">
        <v>38</v>
      </c>
      <c r="E15" t="s">
        <v>69</v>
      </c>
      <c r="F15">
        <v>0</v>
      </c>
      <c r="G15">
        <v>0</v>
      </c>
      <c r="H15">
        <v>1</v>
      </c>
      <c r="I15" t="s">
        <v>52</v>
      </c>
      <c r="J15" t="s">
        <v>25</v>
      </c>
      <c r="K15">
        <v>142.49</v>
      </c>
      <c r="L15">
        <v>15.2</v>
      </c>
      <c r="M15" t="s">
        <v>32</v>
      </c>
      <c r="N15" t="s">
        <v>27</v>
      </c>
      <c r="O15" t="s">
        <v>28</v>
      </c>
      <c r="P15">
        <v>0</v>
      </c>
      <c r="Q15">
        <v>0</v>
      </c>
      <c r="R15">
        <v>4</v>
      </c>
      <c r="S15">
        <v>0</v>
      </c>
      <c r="T15" t="s">
        <v>49</v>
      </c>
      <c r="U15" t="s">
        <v>30</v>
      </c>
      <c r="V15">
        <v>67</v>
      </c>
      <c r="W15" t="s">
        <v>41</v>
      </c>
      <c r="X15">
        <v>1</v>
      </c>
      <c r="Y15" t="str">
        <f t="shared" si="0"/>
        <v>30-50</v>
      </c>
      <c r="Z15" t="str">
        <f t="shared" si="1"/>
        <v>Medium</v>
      </c>
      <c r="AA15" t="str">
        <f t="shared" si="2"/>
        <v>No</v>
      </c>
      <c r="AB15" t="str">
        <f t="shared" si="3"/>
        <v>No</v>
      </c>
      <c r="AC15" t="str">
        <f t="shared" si="4"/>
        <v>No</v>
      </c>
      <c r="AD15" t="str">
        <f t="shared" si="5"/>
        <v>No Alcohol</v>
      </c>
      <c r="AE15" t="str">
        <f t="shared" si="6"/>
        <v>Stroke</v>
      </c>
      <c r="AF15" t="str">
        <f t="shared" si="7"/>
        <v>14 - J Bell-</v>
      </c>
    </row>
    <row r="16" spans="1:32" x14ac:dyDescent="0.25">
      <c r="A16">
        <v>15</v>
      </c>
      <c r="B16" s="1">
        <v>45412</v>
      </c>
      <c r="C16">
        <v>25</v>
      </c>
      <c r="D16" t="s">
        <v>38</v>
      </c>
      <c r="E16" t="s">
        <v>70</v>
      </c>
      <c r="F16">
        <v>0</v>
      </c>
      <c r="G16">
        <v>0</v>
      </c>
      <c r="H16">
        <v>1</v>
      </c>
      <c r="I16" t="s">
        <v>44</v>
      </c>
      <c r="J16" t="s">
        <v>25</v>
      </c>
      <c r="K16">
        <v>218.1</v>
      </c>
      <c r="L16">
        <v>36.5</v>
      </c>
      <c r="M16" t="s">
        <v>26</v>
      </c>
      <c r="N16" t="s">
        <v>27</v>
      </c>
      <c r="O16" t="s">
        <v>28</v>
      </c>
      <c r="P16">
        <v>0</v>
      </c>
      <c r="Q16">
        <v>0</v>
      </c>
      <c r="R16">
        <v>11</v>
      </c>
      <c r="S16">
        <v>0</v>
      </c>
      <c r="T16" t="s">
        <v>35</v>
      </c>
      <c r="U16" t="s">
        <v>47</v>
      </c>
      <c r="V16">
        <v>19</v>
      </c>
      <c r="W16" t="s">
        <v>45</v>
      </c>
      <c r="X16">
        <v>0</v>
      </c>
      <c r="Y16" t="str">
        <f t="shared" si="0"/>
        <v>&lt;30</v>
      </c>
      <c r="Z16" t="str">
        <f t="shared" si="1"/>
        <v>Low</v>
      </c>
      <c r="AA16" t="str">
        <f t="shared" si="2"/>
        <v>No</v>
      </c>
      <c r="AB16" t="str">
        <f t="shared" si="3"/>
        <v>No</v>
      </c>
      <c r="AC16" t="str">
        <f t="shared" si="4"/>
        <v>No</v>
      </c>
      <c r="AD16" t="str">
        <f t="shared" si="5"/>
        <v>No Alcohol</v>
      </c>
      <c r="AE16" t="str">
        <f t="shared" si="6"/>
        <v>No Stroke</v>
      </c>
      <c r="AF16" t="str">
        <f t="shared" si="7"/>
        <v>15 - D Eno</v>
      </c>
    </row>
    <row r="17" spans="1:32" x14ac:dyDescent="0.25">
      <c r="A17">
        <v>16</v>
      </c>
      <c r="B17" s="1">
        <v>45412</v>
      </c>
      <c r="C17">
        <v>81</v>
      </c>
      <c r="D17" t="s">
        <v>23</v>
      </c>
      <c r="E17" t="s">
        <v>71</v>
      </c>
      <c r="F17">
        <v>0</v>
      </c>
      <c r="G17">
        <v>0</v>
      </c>
      <c r="H17">
        <v>0</v>
      </c>
      <c r="I17" t="s">
        <v>24</v>
      </c>
      <c r="J17" t="s">
        <v>25</v>
      </c>
      <c r="K17">
        <v>245.06</v>
      </c>
      <c r="L17">
        <v>10.9</v>
      </c>
      <c r="M17" t="s">
        <v>32</v>
      </c>
      <c r="N17" t="s">
        <v>33</v>
      </c>
      <c r="O17" t="s">
        <v>34</v>
      </c>
      <c r="P17">
        <v>0</v>
      </c>
      <c r="Q17">
        <v>0</v>
      </c>
      <c r="R17">
        <v>4</v>
      </c>
      <c r="S17">
        <v>0</v>
      </c>
      <c r="T17" t="s">
        <v>49</v>
      </c>
      <c r="U17" t="s">
        <v>47</v>
      </c>
      <c r="V17">
        <v>8</v>
      </c>
      <c r="W17" t="s">
        <v>45</v>
      </c>
      <c r="X17">
        <v>0</v>
      </c>
      <c r="Y17" t="str">
        <f t="shared" si="0"/>
        <v>50+</v>
      </c>
      <c r="Z17" t="str">
        <f t="shared" si="1"/>
        <v>Low</v>
      </c>
      <c r="AA17" t="str">
        <f t="shared" si="2"/>
        <v>No</v>
      </c>
      <c r="AB17" t="str">
        <f t="shared" si="3"/>
        <v>No</v>
      </c>
      <c r="AC17" t="str">
        <f t="shared" si="4"/>
        <v>No</v>
      </c>
      <c r="AD17" t="str">
        <f t="shared" si="5"/>
        <v>No Alcohol</v>
      </c>
      <c r="AE17" t="str">
        <f t="shared" si="6"/>
        <v>No Stroke</v>
      </c>
      <c r="AF17" t="str">
        <f t="shared" si="7"/>
        <v>16 - D percer</v>
      </c>
    </row>
    <row r="18" spans="1:32" x14ac:dyDescent="0.25">
      <c r="A18">
        <v>17</v>
      </c>
      <c r="B18" s="1">
        <v>45412</v>
      </c>
      <c r="C18">
        <v>80</v>
      </c>
      <c r="D18" t="s">
        <v>38</v>
      </c>
      <c r="E18" t="s">
        <v>72</v>
      </c>
      <c r="F18">
        <v>0</v>
      </c>
      <c r="G18">
        <v>1</v>
      </c>
      <c r="H18">
        <v>1</v>
      </c>
      <c r="I18" t="s">
        <v>24</v>
      </c>
      <c r="J18" t="s">
        <v>39</v>
      </c>
      <c r="K18">
        <v>266.20999999999998</v>
      </c>
      <c r="L18">
        <v>18.899999999999999</v>
      </c>
      <c r="M18" t="s">
        <v>26</v>
      </c>
      <c r="N18" t="s">
        <v>43</v>
      </c>
      <c r="O18" t="s">
        <v>34</v>
      </c>
      <c r="P18">
        <v>0</v>
      </c>
      <c r="Q18">
        <v>0</v>
      </c>
      <c r="R18">
        <v>6</v>
      </c>
      <c r="S18">
        <v>0</v>
      </c>
      <c r="T18" t="s">
        <v>49</v>
      </c>
      <c r="U18" t="s">
        <v>30</v>
      </c>
      <c r="V18">
        <v>53</v>
      </c>
      <c r="W18" t="s">
        <v>37</v>
      </c>
      <c r="X18">
        <v>0</v>
      </c>
      <c r="Y18" t="str">
        <f t="shared" si="0"/>
        <v>50+</v>
      </c>
      <c r="Z18" t="str">
        <f t="shared" si="1"/>
        <v>Medium</v>
      </c>
      <c r="AA18" t="str">
        <f t="shared" si="2"/>
        <v>No</v>
      </c>
      <c r="AB18" t="str">
        <f t="shared" si="3"/>
        <v>No</v>
      </c>
      <c r="AC18" t="str">
        <f t="shared" si="4"/>
        <v>Yes</v>
      </c>
      <c r="AD18" t="str">
        <f t="shared" si="5"/>
        <v>No Alcohol</v>
      </c>
      <c r="AE18" t="str">
        <f t="shared" si="6"/>
        <v>No Stroke</v>
      </c>
      <c r="AF18" t="str">
        <f t="shared" si="7"/>
        <v>17 - R Collins</v>
      </c>
    </row>
    <row r="19" spans="1:32" x14ac:dyDescent="0.25">
      <c r="A19">
        <v>18</v>
      </c>
      <c r="B19" s="1">
        <v>45412</v>
      </c>
      <c r="C19">
        <v>45</v>
      </c>
      <c r="D19" t="s">
        <v>23</v>
      </c>
      <c r="E19" t="s">
        <v>73</v>
      </c>
      <c r="F19">
        <v>0</v>
      </c>
      <c r="G19">
        <v>0</v>
      </c>
      <c r="H19">
        <v>1</v>
      </c>
      <c r="I19" t="s">
        <v>52</v>
      </c>
      <c r="J19" t="s">
        <v>25</v>
      </c>
      <c r="K19">
        <v>221.45</v>
      </c>
      <c r="L19">
        <v>34.5</v>
      </c>
      <c r="M19" t="s">
        <v>26</v>
      </c>
      <c r="N19" t="s">
        <v>33</v>
      </c>
      <c r="O19" t="s">
        <v>28</v>
      </c>
      <c r="P19">
        <v>0</v>
      </c>
      <c r="Q19">
        <v>0</v>
      </c>
      <c r="R19">
        <v>10</v>
      </c>
      <c r="S19">
        <v>0</v>
      </c>
      <c r="T19" t="s">
        <v>35</v>
      </c>
      <c r="U19" t="s">
        <v>47</v>
      </c>
      <c r="V19">
        <v>63</v>
      </c>
      <c r="W19" t="s">
        <v>41</v>
      </c>
      <c r="X19">
        <v>0</v>
      </c>
      <c r="Y19" t="str">
        <f t="shared" si="0"/>
        <v>30-50</v>
      </c>
      <c r="Z19" t="str">
        <f t="shared" si="1"/>
        <v>Medium</v>
      </c>
      <c r="AA19" t="str">
        <f t="shared" si="2"/>
        <v>No</v>
      </c>
      <c r="AB19" t="str">
        <f t="shared" si="3"/>
        <v>No</v>
      </c>
      <c r="AC19" t="str">
        <f t="shared" si="4"/>
        <v>No</v>
      </c>
      <c r="AD19" t="str">
        <f t="shared" si="5"/>
        <v>No Alcohol</v>
      </c>
      <c r="AE19" t="str">
        <f t="shared" si="6"/>
        <v>No Stroke</v>
      </c>
      <c r="AF19" t="str">
        <f t="shared" si="7"/>
        <v>18 - W Brown</v>
      </c>
    </row>
    <row r="20" spans="1:32" x14ac:dyDescent="0.25">
      <c r="A20">
        <v>19</v>
      </c>
      <c r="B20" s="1">
        <v>45412</v>
      </c>
      <c r="C20">
        <v>47</v>
      </c>
      <c r="D20" t="s">
        <v>38</v>
      </c>
      <c r="E20" t="s">
        <v>74</v>
      </c>
      <c r="F20">
        <v>0</v>
      </c>
      <c r="G20">
        <v>0</v>
      </c>
      <c r="H20">
        <v>1</v>
      </c>
      <c r="I20" t="s">
        <v>24</v>
      </c>
      <c r="J20" t="s">
        <v>25</v>
      </c>
      <c r="K20">
        <v>131.46</v>
      </c>
      <c r="L20">
        <v>24</v>
      </c>
      <c r="M20" t="s">
        <v>32</v>
      </c>
      <c r="N20" t="s">
        <v>27</v>
      </c>
      <c r="O20" t="s">
        <v>34</v>
      </c>
      <c r="P20">
        <v>0</v>
      </c>
      <c r="Q20">
        <v>1</v>
      </c>
      <c r="R20">
        <v>4</v>
      </c>
      <c r="S20">
        <v>0</v>
      </c>
      <c r="T20" t="s">
        <v>46</v>
      </c>
      <c r="U20" t="s">
        <v>47</v>
      </c>
      <c r="V20">
        <v>100</v>
      </c>
      <c r="W20" t="s">
        <v>45</v>
      </c>
      <c r="X20">
        <v>0</v>
      </c>
      <c r="Y20" t="str">
        <f t="shared" si="0"/>
        <v>30-50</v>
      </c>
      <c r="Z20" t="str">
        <f t="shared" si="1"/>
        <v>High</v>
      </c>
      <c r="AA20" t="str">
        <f t="shared" si="2"/>
        <v>Yes</v>
      </c>
      <c r="AB20" t="str">
        <f t="shared" si="3"/>
        <v>No</v>
      </c>
      <c r="AC20" t="str">
        <f t="shared" si="4"/>
        <v>No</v>
      </c>
      <c r="AD20" t="str">
        <f t="shared" si="5"/>
        <v>No Alcohol</v>
      </c>
      <c r="AE20" t="str">
        <f t="shared" si="6"/>
        <v>No Stroke</v>
      </c>
      <c r="AF20" t="str">
        <f t="shared" si="7"/>
        <v>19 - B Eplett</v>
      </c>
    </row>
    <row r="21" spans="1:32" x14ac:dyDescent="0.25">
      <c r="A21">
        <v>20</v>
      </c>
      <c r="B21" s="1">
        <v>45412</v>
      </c>
      <c r="C21">
        <v>81</v>
      </c>
      <c r="D21" t="s">
        <v>38</v>
      </c>
      <c r="E21" t="s">
        <v>75</v>
      </c>
      <c r="F21">
        <v>0</v>
      </c>
      <c r="G21">
        <v>0</v>
      </c>
      <c r="H21">
        <v>1</v>
      </c>
      <c r="I21" t="s">
        <v>24</v>
      </c>
      <c r="J21" t="s">
        <v>39</v>
      </c>
      <c r="K21">
        <v>275.52</v>
      </c>
      <c r="L21">
        <v>26.6</v>
      </c>
      <c r="M21" t="s">
        <v>32</v>
      </c>
      <c r="N21" t="s">
        <v>43</v>
      </c>
      <c r="O21" t="s">
        <v>34</v>
      </c>
      <c r="P21">
        <v>0</v>
      </c>
      <c r="Q21">
        <v>0</v>
      </c>
      <c r="R21">
        <v>9</v>
      </c>
      <c r="S21">
        <v>0</v>
      </c>
      <c r="T21" t="s">
        <v>49</v>
      </c>
      <c r="U21" t="s">
        <v>47</v>
      </c>
      <c r="V21">
        <v>10</v>
      </c>
      <c r="W21" t="s">
        <v>37</v>
      </c>
      <c r="X21">
        <v>0</v>
      </c>
      <c r="Y21" t="str">
        <f t="shared" si="0"/>
        <v>50+</v>
      </c>
      <c r="Z21" t="str">
        <f t="shared" si="1"/>
        <v>Low</v>
      </c>
      <c r="AA21" t="str">
        <f t="shared" si="2"/>
        <v>No</v>
      </c>
      <c r="AB21" t="str">
        <f t="shared" si="3"/>
        <v>No</v>
      </c>
      <c r="AC21" t="str">
        <f t="shared" si="4"/>
        <v>No</v>
      </c>
      <c r="AD21" t="str">
        <f t="shared" si="5"/>
        <v>No Alcohol</v>
      </c>
      <c r="AE21" t="str">
        <f t="shared" si="6"/>
        <v>No Stroke</v>
      </c>
      <c r="AF21" t="str">
        <f t="shared" si="7"/>
        <v>20 - E Hoffmann</v>
      </c>
    </row>
    <row r="22" spans="1:32" x14ac:dyDescent="0.25">
      <c r="A22">
        <v>21</v>
      </c>
      <c r="B22" s="1">
        <v>45412</v>
      </c>
      <c r="C22">
        <v>69</v>
      </c>
      <c r="D22" t="s">
        <v>38</v>
      </c>
      <c r="E22" t="s">
        <v>76</v>
      </c>
      <c r="F22">
        <v>0</v>
      </c>
      <c r="G22">
        <v>0</v>
      </c>
      <c r="H22">
        <v>1</v>
      </c>
      <c r="I22" t="s">
        <v>24</v>
      </c>
      <c r="J22" t="s">
        <v>25</v>
      </c>
      <c r="K22">
        <v>81.77</v>
      </c>
      <c r="L22">
        <v>12.6</v>
      </c>
      <c r="M22" t="s">
        <v>32</v>
      </c>
      <c r="N22" t="s">
        <v>27</v>
      </c>
      <c r="O22" t="s">
        <v>34</v>
      </c>
      <c r="P22">
        <v>0</v>
      </c>
      <c r="Q22">
        <v>0</v>
      </c>
      <c r="R22">
        <v>11</v>
      </c>
      <c r="S22">
        <v>0</v>
      </c>
      <c r="T22" t="s">
        <v>29</v>
      </c>
      <c r="U22" t="s">
        <v>47</v>
      </c>
      <c r="V22">
        <v>95</v>
      </c>
      <c r="W22" t="s">
        <v>45</v>
      </c>
      <c r="X22">
        <v>0</v>
      </c>
      <c r="Y22" t="str">
        <f t="shared" si="0"/>
        <v>50+</v>
      </c>
      <c r="Z22" t="str">
        <f t="shared" si="1"/>
        <v>High</v>
      </c>
      <c r="AA22" t="str">
        <f t="shared" si="2"/>
        <v>Yes</v>
      </c>
      <c r="AB22" t="str">
        <f t="shared" si="3"/>
        <v>No</v>
      </c>
      <c r="AC22" t="str">
        <f t="shared" si="4"/>
        <v>No</v>
      </c>
      <c r="AD22" t="str">
        <f t="shared" si="5"/>
        <v>No Alcohol</v>
      </c>
      <c r="AE22" t="str">
        <f t="shared" si="6"/>
        <v>No Stroke</v>
      </c>
      <c r="AF22" t="str">
        <f t="shared" si="7"/>
        <v>21 - C Clark</v>
      </c>
    </row>
    <row r="23" spans="1:32" x14ac:dyDescent="0.25">
      <c r="A23">
        <v>22</v>
      </c>
      <c r="B23" s="1">
        <v>45412</v>
      </c>
      <c r="C23">
        <v>48</v>
      </c>
      <c r="D23" t="s">
        <v>38</v>
      </c>
      <c r="E23" t="s">
        <v>77</v>
      </c>
      <c r="F23">
        <v>0</v>
      </c>
      <c r="G23">
        <v>0</v>
      </c>
      <c r="H23">
        <v>0</v>
      </c>
      <c r="I23" t="s">
        <v>24</v>
      </c>
      <c r="J23" t="s">
        <v>39</v>
      </c>
      <c r="K23">
        <v>150.87</v>
      </c>
      <c r="L23">
        <v>24.1</v>
      </c>
      <c r="M23" t="s">
        <v>32</v>
      </c>
      <c r="N23" t="s">
        <v>33</v>
      </c>
      <c r="O23" t="s">
        <v>28</v>
      </c>
      <c r="P23">
        <v>0</v>
      </c>
      <c r="Q23">
        <v>0</v>
      </c>
      <c r="R23">
        <v>3</v>
      </c>
      <c r="S23">
        <v>0</v>
      </c>
      <c r="T23" t="s">
        <v>49</v>
      </c>
      <c r="U23" t="s">
        <v>30</v>
      </c>
      <c r="V23">
        <v>31</v>
      </c>
      <c r="W23" t="s">
        <v>31</v>
      </c>
      <c r="X23">
        <v>0</v>
      </c>
      <c r="Y23" t="str">
        <f t="shared" si="0"/>
        <v>30-50</v>
      </c>
      <c r="Z23" t="str">
        <f t="shared" si="1"/>
        <v>Low</v>
      </c>
      <c r="AA23" t="str">
        <f t="shared" si="2"/>
        <v>No</v>
      </c>
      <c r="AB23" t="str">
        <f t="shared" si="3"/>
        <v>No</v>
      </c>
      <c r="AC23" t="str">
        <f t="shared" si="4"/>
        <v>No</v>
      </c>
      <c r="AD23" t="str">
        <f t="shared" si="5"/>
        <v>No Alcohol</v>
      </c>
      <c r="AE23" t="str">
        <f t="shared" si="6"/>
        <v>No Stroke</v>
      </c>
      <c r="AF23" t="str">
        <f t="shared" si="7"/>
        <v>22 - D Lloyd</v>
      </c>
    </row>
    <row r="24" spans="1:32" x14ac:dyDescent="0.25">
      <c r="A24">
        <v>23</v>
      </c>
      <c r="B24" s="1">
        <v>45412</v>
      </c>
      <c r="C24">
        <v>22</v>
      </c>
      <c r="D24" t="s">
        <v>23</v>
      </c>
      <c r="E24" t="s">
        <v>78</v>
      </c>
      <c r="F24">
        <v>0</v>
      </c>
      <c r="G24">
        <v>0</v>
      </c>
      <c r="H24">
        <v>0</v>
      </c>
      <c r="I24" t="s">
        <v>24</v>
      </c>
      <c r="J24" t="s">
        <v>39</v>
      </c>
      <c r="K24">
        <v>244.7</v>
      </c>
      <c r="L24">
        <v>32.799999999999997</v>
      </c>
      <c r="M24" t="s">
        <v>26</v>
      </c>
      <c r="N24" t="s">
        <v>27</v>
      </c>
      <c r="O24" t="s">
        <v>28</v>
      </c>
      <c r="P24">
        <v>0</v>
      </c>
      <c r="Q24">
        <v>0</v>
      </c>
      <c r="R24">
        <v>6</v>
      </c>
      <c r="S24">
        <v>0</v>
      </c>
      <c r="T24" t="s">
        <v>35</v>
      </c>
      <c r="U24" t="s">
        <v>47</v>
      </c>
      <c r="V24">
        <v>65</v>
      </c>
      <c r="W24" t="s">
        <v>31</v>
      </c>
      <c r="X24">
        <v>0</v>
      </c>
      <c r="Y24" t="str">
        <f t="shared" si="0"/>
        <v>&lt;30</v>
      </c>
      <c r="Z24" t="str">
        <f t="shared" si="1"/>
        <v>Medium</v>
      </c>
      <c r="AA24" t="str">
        <f t="shared" si="2"/>
        <v>No</v>
      </c>
      <c r="AB24" t="str">
        <f t="shared" si="3"/>
        <v>No</v>
      </c>
      <c r="AC24" t="str">
        <f t="shared" si="4"/>
        <v>No</v>
      </c>
      <c r="AD24" t="str">
        <f t="shared" si="5"/>
        <v>No Alcohol</v>
      </c>
      <c r="AE24" t="str">
        <f t="shared" si="6"/>
        <v>No Stroke</v>
      </c>
      <c r="AF24" t="str">
        <f t="shared" si="7"/>
        <v>23 - T Dahlen</v>
      </c>
    </row>
    <row r="25" spans="1:32" x14ac:dyDescent="0.25">
      <c r="A25">
        <v>24</v>
      </c>
      <c r="B25" s="1">
        <v>45413</v>
      </c>
      <c r="C25">
        <v>70</v>
      </c>
      <c r="D25" t="s">
        <v>23</v>
      </c>
      <c r="E25" t="s">
        <v>79</v>
      </c>
      <c r="F25">
        <v>0</v>
      </c>
      <c r="G25">
        <v>0</v>
      </c>
      <c r="H25">
        <v>0</v>
      </c>
      <c r="I25" t="s">
        <v>24</v>
      </c>
      <c r="J25" t="s">
        <v>39</v>
      </c>
      <c r="K25">
        <v>214.01</v>
      </c>
      <c r="L25">
        <v>17.2</v>
      </c>
      <c r="M25" t="s">
        <v>26</v>
      </c>
      <c r="N25" t="s">
        <v>27</v>
      </c>
      <c r="O25" t="s">
        <v>40</v>
      </c>
      <c r="P25">
        <v>0</v>
      </c>
      <c r="Q25">
        <v>1</v>
      </c>
      <c r="R25">
        <v>12</v>
      </c>
      <c r="S25">
        <v>0</v>
      </c>
      <c r="T25" t="s">
        <v>35</v>
      </c>
      <c r="U25" t="s">
        <v>47</v>
      </c>
      <c r="V25">
        <v>16</v>
      </c>
      <c r="W25" t="s">
        <v>45</v>
      </c>
      <c r="X25">
        <v>0</v>
      </c>
      <c r="Y25" t="str">
        <f t="shared" si="0"/>
        <v>50+</v>
      </c>
      <c r="Z25" t="str">
        <f t="shared" si="1"/>
        <v>Low</v>
      </c>
      <c r="AA25" t="str">
        <f t="shared" si="2"/>
        <v>No</v>
      </c>
      <c r="AB25" t="str">
        <f t="shared" si="3"/>
        <v>No</v>
      </c>
      <c r="AC25" t="str">
        <f t="shared" si="4"/>
        <v>No</v>
      </c>
      <c r="AD25" t="str">
        <f t="shared" si="5"/>
        <v>No Alcohol</v>
      </c>
      <c r="AE25" t="str">
        <f t="shared" si="6"/>
        <v>No Stroke</v>
      </c>
      <c r="AF25" t="str">
        <f t="shared" si="7"/>
        <v>24 - P Gonzalez</v>
      </c>
    </row>
    <row r="26" spans="1:32" x14ac:dyDescent="0.25">
      <c r="A26">
        <v>25</v>
      </c>
      <c r="B26" s="1">
        <v>45413</v>
      </c>
      <c r="C26">
        <v>64</v>
      </c>
      <c r="D26" t="s">
        <v>38</v>
      </c>
      <c r="E26" t="s">
        <v>80</v>
      </c>
      <c r="F26">
        <v>0</v>
      </c>
      <c r="G26">
        <v>0</v>
      </c>
      <c r="H26">
        <v>0</v>
      </c>
      <c r="I26" t="s">
        <v>24</v>
      </c>
      <c r="J26" t="s">
        <v>39</v>
      </c>
      <c r="K26">
        <v>157.5</v>
      </c>
      <c r="L26">
        <v>48.9</v>
      </c>
      <c r="M26" t="s">
        <v>32</v>
      </c>
      <c r="N26" t="s">
        <v>27</v>
      </c>
      <c r="O26" t="s">
        <v>34</v>
      </c>
      <c r="P26">
        <v>0</v>
      </c>
      <c r="Q26">
        <v>0</v>
      </c>
      <c r="R26">
        <v>8</v>
      </c>
      <c r="S26">
        <v>0</v>
      </c>
      <c r="T26" t="s">
        <v>35</v>
      </c>
      <c r="U26" t="s">
        <v>47</v>
      </c>
      <c r="V26">
        <v>77</v>
      </c>
      <c r="W26" t="s">
        <v>41</v>
      </c>
      <c r="X26">
        <v>0</v>
      </c>
      <c r="Y26" t="str">
        <f t="shared" si="0"/>
        <v>50+</v>
      </c>
      <c r="Z26" t="str">
        <f t="shared" si="1"/>
        <v>High</v>
      </c>
      <c r="AA26" t="str">
        <f t="shared" si="2"/>
        <v>Yes</v>
      </c>
      <c r="AB26" t="str">
        <f t="shared" si="3"/>
        <v>No</v>
      </c>
      <c r="AC26" t="str">
        <f t="shared" si="4"/>
        <v>No</v>
      </c>
      <c r="AD26" t="str">
        <f t="shared" si="5"/>
        <v>No Alcohol</v>
      </c>
      <c r="AE26" t="str">
        <f t="shared" si="6"/>
        <v>No Stroke</v>
      </c>
      <c r="AF26" t="str">
        <f t="shared" si="7"/>
        <v>25 - F Preis</v>
      </c>
    </row>
    <row r="27" spans="1:32" x14ac:dyDescent="0.25">
      <c r="A27">
        <v>26</v>
      </c>
      <c r="B27" s="1">
        <v>45414</v>
      </c>
      <c r="C27">
        <v>22</v>
      </c>
      <c r="D27" t="s">
        <v>38</v>
      </c>
      <c r="E27" t="s">
        <v>81</v>
      </c>
      <c r="F27">
        <v>0</v>
      </c>
      <c r="G27">
        <v>0</v>
      </c>
      <c r="H27">
        <v>0</v>
      </c>
      <c r="I27" t="s">
        <v>24</v>
      </c>
      <c r="J27" t="s">
        <v>39</v>
      </c>
      <c r="K27">
        <v>288.63</v>
      </c>
      <c r="L27">
        <v>45.3</v>
      </c>
      <c r="M27" t="s">
        <v>32</v>
      </c>
      <c r="N27" t="s">
        <v>33</v>
      </c>
      <c r="O27" t="s">
        <v>28</v>
      </c>
      <c r="P27">
        <v>0</v>
      </c>
      <c r="Q27">
        <v>1</v>
      </c>
      <c r="R27">
        <v>3</v>
      </c>
      <c r="S27">
        <v>0</v>
      </c>
      <c r="T27" t="s">
        <v>49</v>
      </c>
      <c r="U27" t="s">
        <v>47</v>
      </c>
      <c r="V27">
        <v>77</v>
      </c>
      <c r="W27" t="s">
        <v>31</v>
      </c>
      <c r="X27">
        <v>0</v>
      </c>
      <c r="Y27" t="str">
        <f t="shared" si="0"/>
        <v>&lt;30</v>
      </c>
      <c r="Z27" t="str">
        <f t="shared" si="1"/>
        <v>High</v>
      </c>
      <c r="AA27" t="str">
        <f t="shared" si="2"/>
        <v>Yes</v>
      </c>
      <c r="AB27" t="str">
        <f t="shared" si="3"/>
        <v>No</v>
      </c>
      <c r="AC27" t="str">
        <f t="shared" si="4"/>
        <v>No</v>
      </c>
      <c r="AD27" t="str">
        <f t="shared" si="5"/>
        <v>No Alcohol</v>
      </c>
      <c r="AE27" t="str">
        <f t="shared" si="6"/>
        <v>No Stroke</v>
      </c>
      <c r="AF27" t="str">
        <f t="shared" si="7"/>
        <v>26 - B Talbott</v>
      </c>
    </row>
    <row r="28" spans="1:32" x14ac:dyDescent="0.25">
      <c r="A28">
        <v>27</v>
      </c>
      <c r="B28" s="1">
        <v>45415</v>
      </c>
      <c r="C28">
        <v>56</v>
      </c>
      <c r="D28" t="s">
        <v>38</v>
      </c>
      <c r="E28" t="s">
        <v>82</v>
      </c>
      <c r="F28">
        <v>1</v>
      </c>
      <c r="G28">
        <v>0</v>
      </c>
      <c r="H28">
        <v>0</v>
      </c>
      <c r="I28" t="s">
        <v>52</v>
      </c>
      <c r="J28" t="s">
        <v>39</v>
      </c>
      <c r="K28">
        <v>177.89</v>
      </c>
      <c r="L28">
        <v>32.5</v>
      </c>
      <c r="M28" t="s">
        <v>26</v>
      </c>
      <c r="N28" t="s">
        <v>27</v>
      </c>
      <c r="O28" t="s">
        <v>28</v>
      </c>
      <c r="P28">
        <v>0</v>
      </c>
      <c r="Q28">
        <v>0</v>
      </c>
      <c r="R28">
        <v>3</v>
      </c>
      <c r="S28">
        <v>0</v>
      </c>
      <c r="T28" t="s">
        <v>29</v>
      </c>
      <c r="U28" t="s">
        <v>36</v>
      </c>
      <c r="V28">
        <v>18</v>
      </c>
      <c r="W28" t="s">
        <v>45</v>
      </c>
      <c r="X28">
        <v>0</v>
      </c>
      <c r="Y28" t="str">
        <f t="shared" si="0"/>
        <v>50+</v>
      </c>
      <c r="Z28" t="str">
        <f t="shared" si="1"/>
        <v>Low</v>
      </c>
      <c r="AA28" t="str">
        <f t="shared" si="2"/>
        <v>No</v>
      </c>
      <c r="AB28" t="str">
        <f t="shared" si="3"/>
        <v>Yes</v>
      </c>
      <c r="AC28" t="str">
        <f t="shared" si="4"/>
        <v>No</v>
      </c>
      <c r="AD28" t="str">
        <f t="shared" si="5"/>
        <v>No Alcohol</v>
      </c>
      <c r="AE28" t="str">
        <f t="shared" si="6"/>
        <v>No Stroke</v>
      </c>
      <c r="AF28" t="str">
        <f t="shared" si="7"/>
        <v>27 - T Braunhardt</v>
      </c>
    </row>
    <row r="29" spans="1:32" x14ac:dyDescent="0.25">
      <c r="A29">
        <v>28</v>
      </c>
      <c r="B29" s="1">
        <v>45416</v>
      </c>
      <c r="C29">
        <v>75</v>
      </c>
      <c r="D29" t="s">
        <v>38</v>
      </c>
      <c r="E29" t="s">
        <v>83</v>
      </c>
      <c r="F29">
        <v>0</v>
      </c>
      <c r="G29">
        <v>0</v>
      </c>
      <c r="H29">
        <v>0</v>
      </c>
      <c r="I29" t="s">
        <v>44</v>
      </c>
      <c r="J29" t="s">
        <v>39</v>
      </c>
      <c r="K29">
        <v>169.66</v>
      </c>
      <c r="L29">
        <v>10</v>
      </c>
      <c r="M29" t="s">
        <v>32</v>
      </c>
      <c r="N29" t="s">
        <v>33</v>
      </c>
      <c r="O29" t="s">
        <v>34</v>
      </c>
      <c r="P29">
        <v>1</v>
      </c>
      <c r="Q29">
        <v>0</v>
      </c>
      <c r="R29">
        <v>11</v>
      </c>
      <c r="S29">
        <v>0</v>
      </c>
      <c r="T29" t="s">
        <v>29</v>
      </c>
      <c r="U29" t="s">
        <v>30</v>
      </c>
      <c r="V29">
        <v>88</v>
      </c>
      <c r="W29" t="s">
        <v>31</v>
      </c>
      <c r="X29">
        <v>0</v>
      </c>
      <c r="Y29" t="str">
        <f t="shared" si="0"/>
        <v>50+</v>
      </c>
      <c r="Z29" t="str">
        <f t="shared" si="1"/>
        <v>High</v>
      </c>
      <c r="AA29" t="str">
        <f t="shared" si="2"/>
        <v>Yes</v>
      </c>
      <c r="AB29" t="str">
        <f t="shared" si="3"/>
        <v>No</v>
      </c>
      <c r="AC29" t="str">
        <f t="shared" si="4"/>
        <v>No</v>
      </c>
      <c r="AD29" t="str">
        <f t="shared" si="5"/>
        <v>Consumes Alcohol</v>
      </c>
      <c r="AE29" t="str">
        <f t="shared" si="6"/>
        <v>No Stroke</v>
      </c>
      <c r="AF29" t="str">
        <f t="shared" si="7"/>
        <v>28 - C Brittain</v>
      </c>
    </row>
    <row r="30" spans="1:32" x14ac:dyDescent="0.25">
      <c r="A30">
        <v>29</v>
      </c>
      <c r="B30" s="1">
        <v>45417</v>
      </c>
      <c r="C30">
        <v>77</v>
      </c>
      <c r="D30" t="s">
        <v>38</v>
      </c>
      <c r="E30" t="s">
        <v>84</v>
      </c>
      <c r="F30">
        <v>0</v>
      </c>
      <c r="G30">
        <v>0</v>
      </c>
      <c r="H30">
        <v>0</v>
      </c>
      <c r="I30" t="s">
        <v>52</v>
      </c>
      <c r="J30" t="s">
        <v>39</v>
      </c>
      <c r="K30">
        <v>84.55</v>
      </c>
      <c r="L30">
        <v>18.2</v>
      </c>
      <c r="M30" t="s">
        <v>26</v>
      </c>
      <c r="N30" t="s">
        <v>51</v>
      </c>
      <c r="O30" t="s">
        <v>28</v>
      </c>
      <c r="P30">
        <v>0</v>
      </c>
      <c r="Q30">
        <v>1</v>
      </c>
      <c r="R30">
        <v>12</v>
      </c>
      <c r="S30">
        <v>0</v>
      </c>
      <c r="T30" t="s">
        <v>35</v>
      </c>
      <c r="U30" t="s">
        <v>47</v>
      </c>
      <c r="V30">
        <v>21</v>
      </c>
      <c r="W30" t="s">
        <v>37</v>
      </c>
      <c r="X30">
        <v>0</v>
      </c>
      <c r="Y30" t="str">
        <f t="shared" si="0"/>
        <v>50+</v>
      </c>
      <c r="Z30" t="str">
        <f t="shared" si="1"/>
        <v>Low</v>
      </c>
      <c r="AA30" t="str">
        <f t="shared" si="2"/>
        <v>No</v>
      </c>
      <c r="AB30" t="str">
        <f t="shared" si="3"/>
        <v>No</v>
      </c>
      <c r="AC30" t="str">
        <f t="shared" si="4"/>
        <v>No</v>
      </c>
      <c r="AD30" t="str">
        <f t="shared" si="5"/>
        <v>No Alcohol</v>
      </c>
      <c r="AE30" t="str">
        <f t="shared" si="6"/>
        <v>No Stroke</v>
      </c>
      <c r="AF30" t="str">
        <f t="shared" si="7"/>
        <v>29 - C Bergmann</v>
      </c>
    </row>
    <row r="31" spans="1:32" x14ac:dyDescent="0.25">
      <c r="A31">
        <v>30</v>
      </c>
      <c r="B31" s="1">
        <v>45418</v>
      </c>
      <c r="C31">
        <v>24</v>
      </c>
      <c r="D31" t="s">
        <v>53</v>
      </c>
      <c r="E31" t="s">
        <v>85</v>
      </c>
      <c r="F31">
        <v>0</v>
      </c>
      <c r="G31">
        <v>0</v>
      </c>
      <c r="H31">
        <v>1</v>
      </c>
      <c r="I31" t="s">
        <v>24</v>
      </c>
      <c r="J31" t="s">
        <v>39</v>
      </c>
      <c r="K31">
        <v>132.46</v>
      </c>
      <c r="L31">
        <v>10.6</v>
      </c>
      <c r="M31" t="s">
        <v>32</v>
      </c>
      <c r="N31" t="s">
        <v>27</v>
      </c>
      <c r="O31" t="s">
        <v>40</v>
      </c>
      <c r="P31">
        <v>0</v>
      </c>
      <c r="Q31">
        <v>0</v>
      </c>
      <c r="R31">
        <v>3</v>
      </c>
      <c r="S31">
        <v>0</v>
      </c>
      <c r="T31" t="s">
        <v>35</v>
      </c>
      <c r="U31" t="s">
        <v>30</v>
      </c>
      <c r="V31">
        <v>44</v>
      </c>
      <c r="W31" t="s">
        <v>41</v>
      </c>
      <c r="X31">
        <v>0</v>
      </c>
      <c r="Y31" t="str">
        <f t="shared" si="0"/>
        <v>&lt;30</v>
      </c>
      <c r="Z31" t="str">
        <f t="shared" si="1"/>
        <v>Medium</v>
      </c>
      <c r="AA31" t="str">
        <f t="shared" si="2"/>
        <v>No</v>
      </c>
      <c r="AB31" t="str">
        <f t="shared" si="3"/>
        <v>No</v>
      </c>
      <c r="AC31" t="str">
        <f t="shared" si="4"/>
        <v>No</v>
      </c>
      <c r="AD31" t="str">
        <f t="shared" si="5"/>
        <v>No Alcohol</v>
      </c>
      <c r="AE31" t="str">
        <f t="shared" si="6"/>
        <v>No Stroke</v>
      </c>
      <c r="AF31" t="str">
        <f t="shared" si="7"/>
        <v>30 - H Goldwyn</v>
      </c>
    </row>
    <row r="32" spans="1:32" x14ac:dyDescent="0.25">
      <c r="A32">
        <v>31</v>
      </c>
      <c r="B32" s="1">
        <v>45419</v>
      </c>
      <c r="C32">
        <v>57</v>
      </c>
      <c r="D32" t="s">
        <v>38</v>
      </c>
      <c r="E32" t="s">
        <v>86</v>
      </c>
      <c r="F32">
        <v>0</v>
      </c>
      <c r="G32">
        <v>0</v>
      </c>
      <c r="H32">
        <v>0</v>
      </c>
      <c r="I32" t="s">
        <v>52</v>
      </c>
      <c r="J32" t="s">
        <v>25</v>
      </c>
      <c r="K32">
        <v>171.52</v>
      </c>
      <c r="L32">
        <v>44.3</v>
      </c>
      <c r="M32" t="s">
        <v>32</v>
      </c>
      <c r="N32" t="s">
        <v>27</v>
      </c>
      <c r="O32" t="s">
        <v>28</v>
      </c>
      <c r="P32">
        <v>0</v>
      </c>
      <c r="Q32">
        <v>1</v>
      </c>
      <c r="R32">
        <v>11</v>
      </c>
      <c r="S32">
        <v>0</v>
      </c>
      <c r="T32" t="s">
        <v>35</v>
      </c>
      <c r="U32" t="s">
        <v>30</v>
      </c>
      <c r="V32">
        <v>100</v>
      </c>
      <c r="W32" t="s">
        <v>31</v>
      </c>
      <c r="X32">
        <v>0</v>
      </c>
      <c r="Y32" t="str">
        <f t="shared" si="0"/>
        <v>50+</v>
      </c>
      <c r="Z32" t="str">
        <f t="shared" si="1"/>
        <v>High</v>
      </c>
      <c r="AA32" t="str">
        <f t="shared" si="2"/>
        <v>Yes</v>
      </c>
      <c r="AB32" t="str">
        <f t="shared" si="3"/>
        <v>No</v>
      </c>
      <c r="AC32" t="str">
        <f t="shared" si="4"/>
        <v>No</v>
      </c>
      <c r="AD32" t="str">
        <f t="shared" si="5"/>
        <v>No Alcohol</v>
      </c>
      <c r="AE32" t="str">
        <f t="shared" si="6"/>
        <v>No Stroke</v>
      </c>
      <c r="AF32" t="str">
        <f t="shared" si="7"/>
        <v>31 - T Boyes</v>
      </c>
    </row>
    <row r="33" spans="1:32" x14ac:dyDescent="0.25">
      <c r="A33">
        <v>32</v>
      </c>
      <c r="B33" s="1">
        <v>45420</v>
      </c>
      <c r="C33">
        <v>86</v>
      </c>
      <c r="D33" t="s">
        <v>23</v>
      </c>
      <c r="E33" t="s">
        <v>87</v>
      </c>
      <c r="F33">
        <v>1</v>
      </c>
      <c r="G33">
        <v>0</v>
      </c>
      <c r="H33">
        <v>1</v>
      </c>
      <c r="I33" t="s">
        <v>24</v>
      </c>
      <c r="J33" t="s">
        <v>39</v>
      </c>
      <c r="K33">
        <v>233.23</v>
      </c>
      <c r="L33">
        <v>34.700000000000003</v>
      </c>
      <c r="M33" t="s">
        <v>32</v>
      </c>
      <c r="N33" t="s">
        <v>33</v>
      </c>
      <c r="O33" t="s">
        <v>28</v>
      </c>
      <c r="P33">
        <v>0</v>
      </c>
      <c r="Q33">
        <v>0</v>
      </c>
      <c r="R33">
        <v>12</v>
      </c>
      <c r="S33">
        <v>0</v>
      </c>
      <c r="T33" t="s">
        <v>35</v>
      </c>
      <c r="U33" t="s">
        <v>47</v>
      </c>
      <c r="V33">
        <v>28</v>
      </c>
      <c r="W33" t="s">
        <v>45</v>
      </c>
      <c r="X33">
        <v>0</v>
      </c>
      <c r="Y33" t="str">
        <f t="shared" si="0"/>
        <v>50+</v>
      </c>
      <c r="Z33" t="str">
        <f t="shared" si="1"/>
        <v>Low</v>
      </c>
      <c r="AA33" t="str">
        <f t="shared" si="2"/>
        <v>No</v>
      </c>
      <c r="AB33" t="str">
        <f t="shared" si="3"/>
        <v>Yes</v>
      </c>
      <c r="AC33" t="str">
        <f t="shared" si="4"/>
        <v>No</v>
      </c>
      <c r="AD33" t="str">
        <f t="shared" si="5"/>
        <v>No Alcohol</v>
      </c>
      <c r="AE33" t="str">
        <f t="shared" si="6"/>
        <v>No Stroke</v>
      </c>
      <c r="AF33" t="str">
        <f t="shared" si="7"/>
        <v>32 - J Doherty</v>
      </c>
    </row>
    <row r="34" spans="1:32" x14ac:dyDescent="0.25">
      <c r="A34">
        <v>33</v>
      </c>
      <c r="B34" s="1">
        <v>45421</v>
      </c>
      <c r="C34">
        <v>38</v>
      </c>
      <c r="D34" t="s">
        <v>23</v>
      </c>
      <c r="E34" t="s">
        <v>88</v>
      </c>
      <c r="F34">
        <v>0</v>
      </c>
      <c r="G34">
        <v>0</v>
      </c>
      <c r="H34">
        <v>0</v>
      </c>
      <c r="I34" t="s">
        <v>44</v>
      </c>
      <c r="J34" t="s">
        <v>25</v>
      </c>
      <c r="K34">
        <v>79.48</v>
      </c>
      <c r="L34">
        <v>30.2</v>
      </c>
      <c r="M34" t="s">
        <v>32</v>
      </c>
      <c r="N34" t="s">
        <v>27</v>
      </c>
      <c r="O34" t="s">
        <v>28</v>
      </c>
      <c r="P34">
        <v>0</v>
      </c>
      <c r="Q34">
        <v>0</v>
      </c>
      <c r="R34">
        <v>9</v>
      </c>
      <c r="S34">
        <v>0</v>
      </c>
      <c r="T34" t="s">
        <v>46</v>
      </c>
      <c r="U34" t="s">
        <v>36</v>
      </c>
      <c r="V34">
        <v>3</v>
      </c>
      <c r="W34" t="s">
        <v>31</v>
      </c>
      <c r="X34">
        <v>0</v>
      </c>
      <c r="Y34" t="str">
        <f t="shared" ref="Y34:Y65" si="8">IF(C34&lt;30,"&lt;30",IF(C34&lt;=50,"30-50","50+"))</f>
        <v>30-50</v>
      </c>
      <c r="Z34" t="str">
        <f t="shared" ref="Z34:Z65" si="9">IF(V34&gt;=70,"High",IF(V34&gt;=40,"Medium","Low"))</f>
        <v>Low</v>
      </c>
      <c r="AA34" t="str">
        <f t="shared" ref="AA34:AA65" si="10">IF(V34&gt;=70,"Yes","No")</f>
        <v>No</v>
      </c>
      <c r="AB34" t="str">
        <f t="shared" ref="AB34:AB65" si="11">IF(F34=1,"Yes","No")</f>
        <v>No</v>
      </c>
      <c r="AC34" t="str">
        <f t="shared" ref="AC34:AC65" si="12">IF(G34=1,"Yes","No")</f>
        <v>No</v>
      </c>
      <c r="AD34" t="str">
        <f t="shared" ref="AD34:AD65" si="13">IF(P34=1,"Consumes Alcohol","No Alcohol")</f>
        <v>No Alcohol</v>
      </c>
      <c r="AE34" t="str">
        <f t="shared" ref="AE34:AE65" si="14">IF(X34=1,"Stroke","No Stroke")</f>
        <v>No Stroke</v>
      </c>
      <c r="AF34" t="str">
        <f t="shared" ref="AF34:AF65" si="15">A34&amp;" - "&amp;E34</f>
        <v>33 - J Farry</v>
      </c>
    </row>
    <row r="35" spans="1:32" x14ac:dyDescent="0.25">
      <c r="A35">
        <v>34</v>
      </c>
      <c r="B35" s="1">
        <v>45422</v>
      </c>
      <c r="C35">
        <v>54</v>
      </c>
      <c r="D35" t="s">
        <v>23</v>
      </c>
      <c r="E35" t="s">
        <v>89</v>
      </c>
      <c r="F35">
        <v>0</v>
      </c>
      <c r="G35">
        <v>0</v>
      </c>
      <c r="H35">
        <v>0</v>
      </c>
      <c r="I35" t="s">
        <v>52</v>
      </c>
      <c r="J35" t="s">
        <v>39</v>
      </c>
      <c r="K35">
        <v>247.96</v>
      </c>
      <c r="L35">
        <v>44.8</v>
      </c>
      <c r="M35" t="s">
        <v>32</v>
      </c>
      <c r="N35" t="s">
        <v>33</v>
      </c>
      <c r="O35" t="s">
        <v>34</v>
      </c>
      <c r="P35">
        <v>0</v>
      </c>
      <c r="Q35">
        <v>0</v>
      </c>
      <c r="R35">
        <v>9</v>
      </c>
      <c r="S35">
        <v>0</v>
      </c>
      <c r="T35" t="s">
        <v>29</v>
      </c>
      <c r="U35" t="s">
        <v>30</v>
      </c>
      <c r="V35">
        <v>78</v>
      </c>
      <c r="W35" t="s">
        <v>31</v>
      </c>
      <c r="X35">
        <v>0</v>
      </c>
      <c r="Y35" t="str">
        <f t="shared" si="8"/>
        <v>50+</v>
      </c>
      <c r="Z35" t="str">
        <f t="shared" si="9"/>
        <v>High</v>
      </c>
      <c r="AA35" t="str">
        <f t="shared" si="10"/>
        <v>Yes</v>
      </c>
      <c r="AB35" t="str">
        <f t="shared" si="11"/>
        <v>No</v>
      </c>
      <c r="AC35" t="str">
        <f t="shared" si="12"/>
        <v>No</v>
      </c>
      <c r="AD35" t="str">
        <f t="shared" si="13"/>
        <v>No Alcohol</v>
      </c>
      <c r="AE35" t="str">
        <f t="shared" si="14"/>
        <v>No Stroke</v>
      </c>
      <c r="AF35" t="str">
        <f t="shared" si="15"/>
        <v>34 - S Cartwright</v>
      </c>
    </row>
    <row r="36" spans="1:32" x14ac:dyDescent="0.25">
      <c r="A36">
        <v>35</v>
      </c>
      <c r="B36" s="1">
        <v>45423</v>
      </c>
      <c r="C36">
        <v>62</v>
      </c>
      <c r="D36" t="s">
        <v>38</v>
      </c>
      <c r="E36" t="s">
        <v>90</v>
      </c>
      <c r="F36">
        <v>0</v>
      </c>
      <c r="G36">
        <v>0</v>
      </c>
      <c r="H36">
        <v>1</v>
      </c>
      <c r="I36" t="s">
        <v>24</v>
      </c>
      <c r="J36" t="s">
        <v>25</v>
      </c>
      <c r="K36">
        <v>176.44</v>
      </c>
      <c r="L36">
        <v>27.3</v>
      </c>
      <c r="M36" t="s">
        <v>32</v>
      </c>
      <c r="N36" t="s">
        <v>27</v>
      </c>
      <c r="O36" t="s">
        <v>34</v>
      </c>
      <c r="P36">
        <v>0</v>
      </c>
      <c r="Q36">
        <v>0</v>
      </c>
      <c r="R36">
        <v>8</v>
      </c>
      <c r="S36">
        <v>0</v>
      </c>
      <c r="T36" t="s">
        <v>46</v>
      </c>
      <c r="U36" t="s">
        <v>47</v>
      </c>
      <c r="V36">
        <v>45</v>
      </c>
      <c r="W36" t="s">
        <v>37</v>
      </c>
      <c r="X36">
        <v>0</v>
      </c>
      <c r="Y36" t="str">
        <f t="shared" si="8"/>
        <v>50+</v>
      </c>
      <c r="Z36" t="str">
        <f t="shared" si="9"/>
        <v>Medium</v>
      </c>
      <c r="AA36" t="str">
        <f t="shared" si="10"/>
        <v>No</v>
      </c>
      <c r="AB36" t="str">
        <f t="shared" si="11"/>
        <v>No</v>
      </c>
      <c r="AC36" t="str">
        <f t="shared" si="12"/>
        <v>No</v>
      </c>
      <c r="AD36" t="str">
        <f t="shared" si="13"/>
        <v>No Alcohol</v>
      </c>
      <c r="AE36" t="str">
        <f t="shared" si="14"/>
        <v>No Stroke</v>
      </c>
      <c r="AF36" t="str">
        <f t="shared" si="15"/>
        <v>35 - T Brockman</v>
      </c>
    </row>
    <row r="37" spans="1:32" x14ac:dyDescent="0.25">
      <c r="A37">
        <v>36</v>
      </c>
      <c r="B37" s="1">
        <v>45424</v>
      </c>
      <c r="C37">
        <v>33</v>
      </c>
      <c r="D37" t="s">
        <v>23</v>
      </c>
      <c r="E37" t="s">
        <v>91</v>
      </c>
      <c r="F37">
        <v>0</v>
      </c>
      <c r="G37">
        <v>0</v>
      </c>
      <c r="H37">
        <v>0</v>
      </c>
      <c r="I37" t="s">
        <v>48</v>
      </c>
      <c r="J37" t="s">
        <v>25</v>
      </c>
      <c r="K37">
        <v>197.62</v>
      </c>
      <c r="L37">
        <v>20.6</v>
      </c>
      <c r="M37" t="s">
        <v>26</v>
      </c>
      <c r="N37" t="s">
        <v>33</v>
      </c>
      <c r="O37" t="s">
        <v>28</v>
      </c>
      <c r="P37">
        <v>0</v>
      </c>
      <c r="Q37">
        <v>1</v>
      </c>
      <c r="R37">
        <v>8</v>
      </c>
      <c r="S37">
        <v>1</v>
      </c>
      <c r="T37" t="s">
        <v>49</v>
      </c>
      <c r="U37" t="s">
        <v>36</v>
      </c>
      <c r="V37">
        <v>89</v>
      </c>
      <c r="W37" t="s">
        <v>37</v>
      </c>
      <c r="X37">
        <v>0</v>
      </c>
      <c r="Y37" t="str">
        <f t="shared" si="8"/>
        <v>30-50</v>
      </c>
      <c r="Z37" t="str">
        <f t="shared" si="9"/>
        <v>High</v>
      </c>
      <c r="AA37" t="str">
        <f t="shared" si="10"/>
        <v>Yes</v>
      </c>
      <c r="AB37" t="str">
        <f t="shared" si="11"/>
        <v>No</v>
      </c>
      <c r="AC37" t="str">
        <f t="shared" si="12"/>
        <v>No</v>
      </c>
      <c r="AD37" t="str">
        <f t="shared" si="13"/>
        <v>No Alcohol</v>
      </c>
      <c r="AE37" t="str">
        <f t="shared" si="14"/>
        <v>No Stroke</v>
      </c>
      <c r="AF37" t="str">
        <f t="shared" si="15"/>
        <v>36 - H Engle</v>
      </c>
    </row>
    <row r="38" spans="1:32" x14ac:dyDescent="0.25">
      <c r="A38">
        <v>37</v>
      </c>
      <c r="B38" s="1">
        <v>45425</v>
      </c>
      <c r="C38">
        <v>33</v>
      </c>
      <c r="D38" t="s">
        <v>38</v>
      </c>
      <c r="E38" t="s">
        <v>92</v>
      </c>
      <c r="F38">
        <v>1</v>
      </c>
      <c r="G38">
        <v>0</v>
      </c>
      <c r="H38">
        <v>0</v>
      </c>
      <c r="I38" t="s">
        <v>52</v>
      </c>
      <c r="J38" t="s">
        <v>25</v>
      </c>
      <c r="K38">
        <v>144.25</v>
      </c>
      <c r="L38">
        <v>38</v>
      </c>
      <c r="M38" t="s">
        <v>32</v>
      </c>
      <c r="N38" t="s">
        <v>27</v>
      </c>
      <c r="O38" t="s">
        <v>28</v>
      </c>
      <c r="P38">
        <v>0</v>
      </c>
      <c r="Q38">
        <v>0</v>
      </c>
      <c r="R38">
        <v>5</v>
      </c>
      <c r="S38">
        <v>1</v>
      </c>
      <c r="T38" t="s">
        <v>35</v>
      </c>
      <c r="U38" t="s">
        <v>47</v>
      </c>
      <c r="V38">
        <v>14</v>
      </c>
      <c r="W38" t="s">
        <v>45</v>
      </c>
      <c r="X38">
        <v>0</v>
      </c>
      <c r="Y38" t="str">
        <f t="shared" si="8"/>
        <v>30-50</v>
      </c>
      <c r="Z38" t="str">
        <f t="shared" si="9"/>
        <v>Low</v>
      </c>
      <c r="AA38" t="str">
        <f t="shared" si="10"/>
        <v>No</v>
      </c>
      <c r="AB38" t="str">
        <f t="shared" si="11"/>
        <v>Yes</v>
      </c>
      <c r="AC38" t="str">
        <f t="shared" si="12"/>
        <v>No</v>
      </c>
      <c r="AD38" t="str">
        <f t="shared" si="13"/>
        <v>No Alcohol</v>
      </c>
      <c r="AE38" t="str">
        <f t="shared" si="14"/>
        <v>No Stroke</v>
      </c>
      <c r="AF38" t="str">
        <f t="shared" si="15"/>
        <v>37 - D Flashing</v>
      </c>
    </row>
    <row r="39" spans="1:32" x14ac:dyDescent="0.25">
      <c r="A39">
        <v>38</v>
      </c>
      <c r="B39" s="1">
        <v>45426</v>
      </c>
      <c r="C39">
        <v>52</v>
      </c>
      <c r="D39" t="s">
        <v>38</v>
      </c>
      <c r="E39" t="s">
        <v>93</v>
      </c>
      <c r="F39">
        <v>0</v>
      </c>
      <c r="G39">
        <v>0</v>
      </c>
      <c r="H39">
        <v>1</v>
      </c>
      <c r="I39" t="s">
        <v>24</v>
      </c>
      <c r="J39" t="s">
        <v>25</v>
      </c>
      <c r="K39">
        <v>233.95</v>
      </c>
      <c r="L39">
        <v>45.1</v>
      </c>
      <c r="M39" t="s">
        <v>32</v>
      </c>
      <c r="N39" t="s">
        <v>51</v>
      </c>
      <c r="O39" t="s">
        <v>28</v>
      </c>
      <c r="P39">
        <v>0</v>
      </c>
      <c r="Q39">
        <v>0</v>
      </c>
      <c r="R39">
        <v>7</v>
      </c>
      <c r="S39">
        <v>0</v>
      </c>
      <c r="T39" t="s">
        <v>35</v>
      </c>
      <c r="U39" t="s">
        <v>47</v>
      </c>
      <c r="V39">
        <v>12</v>
      </c>
      <c r="W39" t="s">
        <v>37</v>
      </c>
      <c r="X39">
        <v>0</v>
      </c>
      <c r="Y39" t="str">
        <f t="shared" si="8"/>
        <v>50+</v>
      </c>
      <c r="Z39" t="str">
        <f t="shared" si="9"/>
        <v>Low</v>
      </c>
      <c r="AA39" t="str">
        <f t="shared" si="10"/>
        <v>No</v>
      </c>
      <c r="AB39" t="str">
        <f t="shared" si="11"/>
        <v>No</v>
      </c>
      <c r="AC39" t="str">
        <f t="shared" si="12"/>
        <v>No</v>
      </c>
      <c r="AD39" t="str">
        <f t="shared" si="13"/>
        <v>No Alcohol</v>
      </c>
      <c r="AE39" t="str">
        <f t="shared" si="14"/>
        <v>No Stroke</v>
      </c>
      <c r="AF39" t="str">
        <f t="shared" si="15"/>
        <v>38 - S A</v>
      </c>
    </row>
    <row r="40" spans="1:32" x14ac:dyDescent="0.25">
      <c r="A40">
        <v>39</v>
      </c>
      <c r="B40" s="1">
        <v>45427</v>
      </c>
      <c r="C40">
        <v>25</v>
      </c>
      <c r="D40" t="s">
        <v>23</v>
      </c>
      <c r="E40" t="s">
        <v>94</v>
      </c>
      <c r="F40">
        <v>1</v>
      </c>
      <c r="G40">
        <v>0</v>
      </c>
      <c r="H40">
        <v>0</v>
      </c>
      <c r="I40" t="s">
        <v>42</v>
      </c>
      <c r="J40" t="s">
        <v>39</v>
      </c>
      <c r="K40">
        <v>230.23</v>
      </c>
      <c r="L40">
        <v>33.1</v>
      </c>
      <c r="M40" t="s">
        <v>32</v>
      </c>
      <c r="N40" t="s">
        <v>33</v>
      </c>
      <c r="O40" t="s">
        <v>40</v>
      </c>
      <c r="P40">
        <v>1</v>
      </c>
      <c r="Q40">
        <v>0</v>
      </c>
      <c r="R40">
        <v>4</v>
      </c>
      <c r="S40">
        <v>0</v>
      </c>
      <c r="T40" t="s">
        <v>29</v>
      </c>
      <c r="U40" t="s">
        <v>36</v>
      </c>
      <c r="V40">
        <v>100</v>
      </c>
      <c r="W40" t="s">
        <v>41</v>
      </c>
      <c r="X40">
        <v>0</v>
      </c>
      <c r="Y40" t="str">
        <f t="shared" si="8"/>
        <v>&lt;30</v>
      </c>
      <c r="Z40" t="str">
        <f t="shared" si="9"/>
        <v>High</v>
      </c>
      <c r="AA40" t="str">
        <f t="shared" si="10"/>
        <v>Yes</v>
      </c>
      <c r="AB40" t="str">
        <f t="shared" si="11"/>
        <v>Yes</v>
      </c>
      <c r="AC40" t="str">
        <f t="shared" si="12"/>
        <v>No</v>
      </c>
      <c r="AD40" t="str">
        <f t="shared" si="13"/>
        <v>Consumes Alcohol</v>
      </c>
      <c r="AE40" t="str">
        <f t="shared" si="14"/>
        <v>No Stroke</v>
      </c>
      <c r="AF40" t="str">
        <f t="shared" si="15"/>
        <v>39 - A Bixby</v>
      </c>
    </row>
    <row r="41" spans="1:32" x14ac:dyDescent="0.25">
      <c r="A41">
        <v>40</v>
      </c>
      <c r="B41" s="1">
        <v>45428</v>
      </c>
      <c r="C41">
        <v>86</v>
      </c>
      <c r="D41" t="s">
        <v>38</v>
      </c>
      <c r="E41" t="s">
        <v>95</v>
      </c>
      <c r="F41">
        <v>1</v>
      </c>
      <c r="G41">
        <v>0</v>
      </c>
      <c r="H41">
        <v>0</v>
      </c>
      <c r="I41" t="s">
        <v>42</v>
      </c>
      <c r="J41" t="s">
        <v>39</v>
      </c>
      <c r="K41">
        <v>297.68</v>
      </c>
      <c r="L41">
        <v>39.1</v>
      </c>
      <c r="M41" t="s">
        <v>26</v>
      </c>
      <c r="N41" t="s">
        <v>33</v>
      </c>
      <c r="O41" t="s">
        <v>34</v>
      </c>
      <c r="P41">
        <v>0</v>
      </c>
      <c r="Q41">
        <v>0</v>
      </c>
      <c r="R41">
        <v>11</v>
      </c>
      <c r="S41">
        <v>0</v>
      </c>
      <c r="T41" t="s">
        <v>35</v>
      </c>
      <c r="U41" t="s">
        <v>36</v>
      </c>
      <c r="V41">
        <v>30</v>
      </c>
      <c r="W41" t="s">
        <v>45</v>
      </c>
      <c r="X41">
        <v>1</v>
      </c>
      <c r="Y41" t="str">
        <f t="shared" si="8"/>
        <v>50+</v>
      </c>
      <c r="Z41" t="str">
        <f t="shared" si="9"/>
        <v>Low</v>
      </c>
      <c r="AA41" t="str">
        <f t="shared" si="10"/>
        <v>No</v>
      </c>
      <c r="AB41" t="str">
        <f t="shared" si="11"/>
        <v>Yes</v>
      </c>
      <c r="AC41" t="str">
        <f t="shared" si="12"/>
        <v>No</v>
      </c>
      <c r="AD41" t="str">
        <f t="shared" si="13"/>
        <v>No Alcohol</v>
      </c>
      <c r="AE41" t="str">
        <f t="shared" si="14"/>
        <v>Stroke</v>
      </c>
      <c r="AF41" t="str">
        <f t="shared" si="15"/>
        <v>40 - J Klamczynski</v>
      </c>
    </row>
    <row r="42" spans="1:32" x14ac:dyDescent="0.25">
      <c r="A42">
        <v>41</v>
      </c>
      <c r="B42" s="1">
        <v>45429</v>
      </c>
      <c r="C42">
        <v>80</v>
      </c>
      <c r="D42" t="s">
        <v>23</v>
      </c>
      <c r="E42" t="s">
        <v>96</v>
      </c>
      <c r="F42">
        <v>0</v>
      </c>
      <c r="G42">
        <v>0</v>
      </c>
      <c r="H42">
        <v>0</v>
      </c>
      <c r="I42" t="s">
        <v>24</v>
      </c>
      <c r="J42" t="s">
        <v>39</v>
      </c>
      <c r="K42">
        <v>271.51</v>
      </c>
      <c r="L42">
        <v>42.7</v>
      </c>
      <c r="M42" t="s">
        <v>32</v>
      </c>
      <c r="N42" t="s">
        <v>51</v>
      </c>
      <c r="O42" t="s">
        <v>40</v>
      </c>
      <c r="P42">
        <v>0</v>
      </c>
      <c r="Q42">
        <v>0</v>
      </c>
      <c r="R42">
        <v>3</v>
      </c>
      <c r="S42">
        <v>0</v>
      </c>
      <c r="T42" t="s">
        <v>49</v>
      </c>
      <c r="U42" t="s">
        <v>30</v>
      </c>
      <c r="V42">
        <v>59</v>
      </c>
      <c r="W42" t="s">
        <v>31</v>
      </c>
      <c r="X42">
        <v>0</v>
      </c>
      <c r="Y42" t="str">
        <f t="shared" si="8"/>
        <v>50+</v>
      </c>
      <c r="Z42" t="str">
        <f t="shared" si="9"/>
        <v>Medium</v>
      </c>
      <c r="AA42" t="str">
        <f t="shared" si="10"/>
        <v>No</v>
      </c>
      <c r="AB42" t="str">
        <f t="shared" si="11"/>
        <v>No</v>
      </c>
      <c r="AC42" t="str">
        <f t="shared" si="12"/>
        <v>No</v>
      </c>
      <c r="AD42" t="str">
        <f t="shared" si="13"/>
        <v>No Alcohol</v>
      </c>
      <c r="AE42" t="str">
        <f t="shared" si="14"/>
        <v>No Stroke</v>
      </c>
      <c r="AF42" t="str">
        <f t="shared" si="15"/>
        <v>41 - B Ferrer</v>
      </c>
    </row>
    <row r="43" spans="1:32" x14ac:dyDescent="0.25">
      <c r="A43">
        <v>42</v>
      </c>
      <c r="B43" s="1">
        <v>45430</v>
      </c>
      <c r="C43">
        <v>60</v>
      </c>
      <c r="D43" t="s">
        <v>38</v>
      </c>
      <c r="E43" t="s">
        <v>97</v>
      </c>
      <c r="F43">
        <v>0</v>
      </c>
      <c r="G43">
        <v>0</v>
      </c>
      <c r="H43">
        <v>1</v>
      </c>
      <c r="I43" t="s">
        <v>52</v>
      </c>
      <c r="J43" t="s">
        <v>39</v>
      </c>
      <c r="K43">
        <v>194.61</v>
      </c>
      <c r="L43">
        <v>49.8</v>
      </c>
      <c r="M43" t="s">
        <v>32</v>
      </c>
      <c r="N43" t="s">
        <v>43</v>
      </c>
      <c r="O43" t="s">
        <v>34</v>
      </c>
      <c r="P43">
        <v>1</v>
      </c>
      <c r="Q43">
        <v>0</v>
      </c>
      <c r="R43">
        <v>7</v>
      </c>
      <c r="S43">
        <v>0</v>
      </c>
      <c r="T43" t="s">
        <v>29</v>
      </c>
      <c r="U43" t="s">
        <v>30</v>
      </c>
      <c r="V43">
        <v>77</v>
      </c>
      <c r="W43" t="s">
        <v>41</v>
      </c>
      <c r="X43">
        <v>1</v>
      </c>
      <c r="Y43" t="str">
        <f t="shared" si="8"/>
        <v>50+</v>
      </c>
      <c r="Z43" t="str">
        <f t="shared" si="9"/>
        <v>High</v>
      </c>
      <c r="AA43" t="str">
        <f t="shared" si="10"/>
        <v>Yes</v>
      </c>
      <c r="AB43" t="str">
        <f t="shared" si="11"/>
        <v>No</v>
      </c>
      <c r="AC43" t="str">
        <f t="shared" si="12"/>
        <v>No</v>
      </c>
      <c r="AD43" t="str">
        <f t="shared" si="13"/>
        <v>Consumes Alcohol</v>
      </c>
      <c r="AE43" t="str">
        <f t="shared" si="14"/>
        <v>Stroke</v>
      </c>
      <c r="AF43" t="str">
        <f t="shared" si="15"/>
        <v>42 - C Kinney</v>
      </c>
    </row>
    <row r="44" spans="1:32" x14ac:dyDescent="0.25">
      <c r="A44">
        <v>43</v>
      </c>
      <c r="B44" s="1">
        <v>45431</v>
      </c>
      <c r="C44">
        <v>89</v>
      </c>
      <c r="D44" t="s">
        <v>23</v>
      </c>
      <c r="E44" t="s">
        <v>98</v>
      </c>
      <c r="F44">
        <v>0</v>
      </c>
      <c r="G44">
        <v>0</v>
      </c>
      <c r="H44">
        <v>0</v>
      </c>
      <c r="I44" t="s">
        <v>48</v>
      </c>
      <c r="J44" t="s">
        <v>39</v>
      </c>
      <c r="K44">
        <v>171.62</v>
      </c>
      <c r="L44">
        <v>25.6</v>
      </c>
      <c r="M44" t="s">
        <v>32</v>
      </c>
      <c r="N44" t="s">
        <v>27</v>
      </c>
      <c r="O44" t="s">
        <v>34</v>
      </c>
      <c r="P44">
        <v>0</v>
      </c>
      <c r="Q44">
        <v>0</v>
      </c>
      <c r="R44">
        <v>9</v>
      </c>
      <c r="S44">
        <v>0</v>
      </c>
      <c r="T44" t="s">
        <v>49</v>
      </c>
      <c r="U44" t="s">
        <v>30</v>
      </c>
      <c r="V44">
        <v>13</v>
      </c>
      <c r="W44" t="s">
        <v>41</v>
      </c>
      <c r="X44">
        <v>0</v>
      </c>
      <c r="Y44" t="str">
        <f t="shared" si="8"/>
        <v>50+</v>
      </c>
      <c r="Z44" t="str">
        <f t="shared" si="9"/>
        <v>Low</v>
      </c>
      <c r="AA44" t="str">
        <f t="shared" si="10"/>
        <v>No</v>
      </c>
      <c r="AB44" t="str">
        <f t="shared" si="11"/>
        <v>No</v>
      </c>
      <c r="AC44" t="str">
        <f t="shared" si="12"/>
        <v>No</v>
      </c>
      <c r="AD44" t="str">
        <f t="shared" si="13"/>
        <v>No Alcohol</v>
      </c>
      <c r="AE44" t="str">
        <f t="shared" si="14"/>
        <v>No Stroke</v>
      </c>
      <c r="AF44" t="str">
        <f t="shared" si="15"/>
        <v>43 - S McNair</v>
      </c>
    </row>
    <row r="45" spans="1:32" x14ac:dyDescent="0.25">
      <c r="A45">
        <v>44</v>
      </c>
      <c r="B45" s="1">
        <v>45432</v>
      </c>
      <c r="C45">
        <v>48</v>
      </c>
      <c r="D45" t="s">
        <v>23</v>
      </c>
      <c r="E45" t="s">
        <v>99</v>
      </c>
      <c r="F45">
        <v>0</v>
      </c>
      <c r="G45">
        <v>0</v>
      </c>
      <c r="H45">
        <v>1</v>
      </c>
      <c r="I45" t="s">
        <v>24</v>
      </c>
      <c r="J45" t="s">
        <v>39</v>
      </c>
      <c r="K45">
        <v>163.35</v>
      </c>
      <c r="L45">
        <v>43.5</v>
      </c>
      <c r="M45" t="s">
        <v>32</v>
      </c>
      <c r="N45" t="s">
        <v>43</v>
      </c>
      <c r="O45" t="s">
        <v>40</v>
      </c>
      <c r="P45">
        <v>0</v>
      </c>
      <c r="Q45">
        <v>0</v>
      </c>
      <c r="R45">
        <v>6</v>
      </c>
      <c r="S45">
        <v>0</v>
      </c>
      <c r="T45" t="s">
        <v>35</v>
      </c>
      <c r="U45" t="s">
        <v>30</v>
      </c>
      <c r="V45">
        <v>96</v>
      </c>
      <c r="W45" t="s">
        <v>37</v>
      </c>
      <c r="X45">
        <v>0</v>
      </c>
      <c r="Y45" t="str">
        <f t="shared" si="8"/>
        <v>30-50</v>
      </c>
      <c r="Z45" t="str">
        <f t="shared" si="9"/>
        <v>High</v>
      </c>
      <c r="AA45" t="str">
        <f t="shared" si="10"/>
        <v>Yes</v>
      </c>
      <c r="AB45" t="str">
        <f t="shared" si="11"/>
        <v>No</v>
      </c>
      <c r="AC45" t="str">
        <f t="shared" si="12"/>
        <v>No</v>
      </c>
      <c r="AD45" t="str">
        <f t="shared" si="13"/>
        <v>No Alcohol</v>
      </c>
      <c r="AE45" t="str">
        <f t="shared" si="14"/>
        <v>No Stroke</v>
      </c>
      <c r="AF45" t="str">
        <f t="shared" si="15"/>
        <v>44 - A Barton</v>
      </c>
    </row>
    <row r="46" spans="1:32" x14ac:dyDescent="0.25">
      <c r="A46">
        <v>45</v>
      </c>
      <c r="B46" s="1">
        <v>45433</v>
      </c>
      <c r="C46">
        <v>69</v>
      </c>
      <c r="D46" t="s">
        <v>38</v>
      </c>
      <c r="E46" t="s">
        <v>100</v>
      </c>
      <c r="F46">
        <v>0</v>
      </c>
      <c r="G46">
        <v>0</v>
      </c>
      <c r="H46">
        <v>1</v>
      </c>
      <c r="I46" t="s">
        <v>52</v>
      </c>
      <c r="J46" t="s">
        <v>39</v>
      </c>
      <c r="K46">
        <v>154.41999999999999</v>
      </c>
      <c r="L46">
        <v>12.3</v>
      </c>
      <c r="M46" t="s">
        <v>32</v>
      </c>
      <c r="N46" t="s">
        <v>33</v>
      </c>
      <c r="O46" t="s">
        <v>34</v>
      </c>
      <c r="P46">
        <v>0</v>
      </c>
      <c r="Q46">
        <v>1</v>
      </c>
      <c r="R46">
        <v>8</v>
      </c>
      <c r="S46">
        <v>0</v>
      </c>
      <c r="T46" t="s">
        <v>35</v>
      </c>
      <c r="U46" t="s">
        <v>30</v>
      </c>
      <c r="V46">
        <v>65</v>
      </c>
      <c r="W46" t="s">
        <v>45</v>
      </c>
      <c r="X46">
        <v>0</v>
      </c>
      <c r="Y46" t="str">
        <f t="shared" si="8"/>
        <v>50+</v>
      </c>
      <c r="Z46" t="str">
        <f t="shared" si="9"/>
        <v>Medium</v>
      </c>
      <c r="AA46" t="str">
        <f t="shared" si="10"/>
        <v>No</v>
      </c>
      <c r="AB46" t="str">
        <f t="shared" si="11"/>
        <v>No</v>
      </c>
      <c r="AC46" t="str">
        <f t="shared" si="12"/>
        <v>No</v>
      </c>
      <c r="AD46" t="str">
        <f t="shared" si="13"/>
        <v>No Alcohol</v>
      </c>
      <c r="AE46" t="str">
        <f t="shared" si="14"/>
        <v>No Stroke</v>
      </c>
      <c r="AF46" t="str">
        <f t="shared" si="15"/>
        <v>45 - S Engle</v>
      </c>
    </row>
    <row r="47" spans="1:32" x14ac:dyDescent="0.25">
      <c r="A47">
        <v>46</v>
      </c>
      <c r="B47" s="1">
        <v>45434</v>
      </c>
      <c r="C47">
        <v>22</v>
      </c>
      <c r="D47" t="s">
        <v>38</v>
      </c>
      <c r="E47" t="s">
        <v>101</v>
      </c>
      <c r="F47">
        <v>0</v>
      </c>
      <c r="G47">
        <v>0</v>
      </c>
      <c r="H47">
        <v>0</v>
      </c>
      <c r="I47" t="s">
        <v>52</v>
      </c>
      <c r="J47" t="s">
        <v>39</v>
      </c>
      <c r="K47">
        <v>103.53</v>
      </c>
      <c r="L47">
        <v>15.7</v>
      </c>
      <c r="M47" t="s">
        <v>26</v>
      </c>
      <c r="N47" t="s">
        <v>27</v>
      </c>
      <c r="O47" t="s">
        <v>28</v>
      </c>
      <c r="P47">
        <v>0</v>
      </c>
      <c r="Q47">
        <v>0</v>
      </c>
      <c r="R47">
        <v>8</v>
      </c>
      <c r="S47">
        <v>0</v>
      </c>
      <c r="T47" t="s">
        <v>35</v>
      </c>
      <c r="U47" t="s">
        <v>30</v>
      </c>
      <c r="V47">
        <v>77</v>
      </c>
      <c r="W47" t="s">
        <v>45</v>
      </c>
      <c r="X47">
        <v>0</v>
      </c>
      <c r="Y47" t="str">
        <f t="shared" si="8"/>
        <v>&lt;30</v>
      </c>
      <c r="Z47" t="str">
        <f t="shared" si="9"/>
        <v>High</v>
      </c>
      <c r="AA47" t="str">
        <f t="shared" si="10"/>
        <v>Yes</v>
      </c>
      <c r="AB47" t="str">
        <f t="shared" si="11"/>
        <v>No</v>
      </c>
      <c r="AC47" t="str">
        <f t="shared" si="12"/>
        <v>No</v>
      </c>
      <c r="AD47" t="str">
        <f t="shared" si="13"/>
        <v>No Alcohol</v>
      </c>
      <c r="AE47" t="str">
        <f t="shared" si="14"/>
        <v>No Stroke</v>
      </c>
      <c r="AF47" t="str">
        <f t="shared" si="15"/>
        <v>46 - N Staavos</v>
      </c>
    </row>
    <row r="48" spans="1:32" x14ac:dyDescent="0.25">
      <c r="A48">
        <v>47</v>
      </c>
      <c r="B48" s="1">
        <v>45435</v>
      </c>
      <c r="C48">
        <v>85</v>
      </c>
      <c r="D48" t="s">
        <v>23</v>
      </c>
      <c r="E48" t="s">
        <v>102</v>
      </c>
      <c r="F48">
        <v>0</v>
      </c>
      <c r="G48">
        <v>0</v>
      </c>
      <c r="H48">
        <v>1</v>
      </c>
      <c r="I48" t="s">
        <v>24</v>
      </c>
      <c r="J48" t="s">
        <v>25</v>
      </c>
      <c r="K48">
        <v>253.42</v>
      </c>
      <c r="L48">
        <v>28.7</v>
      </c>
      <c r="M48" t="s">
        <v>54</v>
      </c>
      <c r="N48" t="s">
        <v>33</v>
      </c>
      <c r="O48" t="s">
        <v>28</v>
      </c>
      <c r="P48">
        <v>0</v>
      </c>
      <c r="Q48">
        <v>1</v>
      </c>
      <c r="R48">
        <v>8</v>
      </c>
      <c r="S48">
        <v>0</v>
      </c>
      <c r="T48" t="s">
        <v>35</v>
      </c>
      <c r="U48" t="s">
        <v>47</v>
      </c>
      <c r="V48">
        <v>23</v>
      </c>
      <c r="W48" t="s">
        <v>41</v>
      </c>
      <c r="X48">
        <v>0</v>
      </c>
      <c r="Y48" t="str">
        <f t="shared" si="8"/>
        <v>50+</v>
      </c>
      <c r="Z48" t="str">
        <f t="shared" si="9"/>
        <v>Low</v>
      </c>
      <c r="AA48" t="str">
        <f t="shared" si="10"/>
        <v>No</v>
      </c>
      <c r="AB48" t="str">
        <f t="shared" si="11"/>
        <v>No</v>
      </c>
      <c r="AC48" t="str">
        <f t="shared" si="12"/>
        <v>No</v>
      </c>
      <c r="AD48" t="str">
        <f t="shared" si="13"/>
        <v>No Alcohol</v>
      </c>
      <c r="AE48" t="str">
        <f t="shared" si="14"/>
        <v>No Stroke</v>
      </c>
      <c r="AF48" t="str">
        <f t="shared" si="15"/>
        <v>47 - L Carlisle</v>
      </c>
    </row>
    <row r="49" spans="1:32" x14ac:dyDescent="0.25">
      <c r="A49">
        <v>48</v>
      </c>
      <c r="B49" s="1">
        <v>45436</v>
      </c>
      <c r="C49">
        <v>79</v>
      </c>
      <c r="D49" t="s">
        <v>23</v>
      </c>
      <c r="E49" t="s">
        <v>103</v>
      </c>
      <c r="F49">
        <v>0</v>
      </c>
      <c r="G49">
        <v>0</v>
      </c>
      <c r="H49">
        <v>1</v>
      </c>
      <c r="I49" t="s">
        <v>48</v>
      </c>
      <c r="J49" t="s">
        <v>39</v>
      </c>
      <c r="K49">
        <v>179.25</v>
      </c>
      <c r="L49">
        <v>47.9</v>
      </c>
      <c r="M49" t="s">
        <v>32</v>
      </c>
      <c r="N49" t="s">
        <v>51</v>
      </c>
      <c r="O49" t="s">
        <v>34</v>
      </c>
      <c r="P49">
        <v>0</v>
      </c>
      <c r="Q49">
        <v>0</v>
      </c>
      <c r="R49">
        <v>9</v>
      </c>
      <c r="S49">
        <v>0</v>
      </c>
      <c r="T49" t="s">
        <v>49</v>
      </c>
      <c r="U49" t="s">
        <v>36</v>
      </c>
      <c r="V49">
        <v>73</v>
      </c>
      <c r="W49" t="s">
        <v>31</v>
      </c>
      <c r="X49">
        <v>0</v>
      </c>
      <c r="Y49" t="str">
        <f t="shared" si="8"/>
        <v>50+</v>
      </c>
      <c r="Z49" t="str">
        <f t="shared" si="9"/>
        <v>High</v>
      </c>
      <c r="AA49" t="str">
        <f t="shared" si="10"/>
        <v>Yes</v>
      </c>
      <c r="AB49" t="str">
        <f t="shared" si="11"/>
        <v>No</v>
      </c>
      <c r="AC49" t="str">
        <f t="shared" si="12"/>
        <v>No</v>
      </c>
      <c r="AD49" t="str">
        <f t="shared" si="13"/>
        <v>No Alcohol</v>
      </c>
      <c r="AE49" t="str">
        <f t="shared" si="14"/>
        <v>No Stroke</v>
      </c>
      <c r="AF49" t="str">
        <f t="shared" si="15"/>
        <v>48 - T Blumstein</v>
      </c>
    </row>
    <row r="50" spans="1:32" x14ac:dyDescent="0.25">
      <c r="A50">
        <v>49</v>
      </c>
      <c r="B50" s="1">
        <v>45437</v>
      </c>
      <c r="C50">
        <v>19</v>
      </c>
      <c r="D50" t="s">
        <v>38</v>
      </c>
      <c r="E50" t="s">
        <v>104</v>
      </c>
      <c r="F50">
        <v>0</v>
      </c>
      <c r="G50">
        <v>0</v>
      </c>
      <c r="H50">
        <v>0</v>
      </c>
      <c r="I50" t="s">
        <v>52</v>
      </c>
      <c r="J50" t="s">
        <v>25</v>
      </c>
      <c r="K50">
        <v>246.68</v>
      </c>
      <c r="L50">
        <v>31.6</v>
      </c>
      <c r="M50" t="s">
        <v>32</v>
      </c>
      <c r="N50" t="s">
        <v>33</v>
      </c>
      <c r="O50" t="s">
        <v>40</v>
      </c>
      <c r="P50">
        <v>1</v>
      </c>
      <c r="Q50">
        <v>0</v>
      </c>
      <c r="R50">
        <v>3</v>
      </c>
      <c r="S50">
        <v>0</v>
      </c>
      <c r="T50" t="s">
        <v>29</v>
      </c>
      <c r="U50" t="s">
        <v>47</v>
      </c>
      <c r="V50">
        <v>83</v>
      </c>
      <c r="W50" t="s">
        <v>45</v>
      </c>
      <c r="X50">
        <v>0</v>
      </c>
      <c r="Y50" t="str">
        <f t="shared" si="8"/>
        <v>&lt;30</v>
      </c>
      <c r="Z50" t="str">
        <f t="shared" si="9"/>
        <v>High</v>
      </c>
      <c r="AA50" t="str">
        <f t="shared" si="10"/>
        <v>Yes</v>
      </c>
      <c r="AB50" t="str">
        <f t="shared" si="11"/>
        <v>No</v>
      </c>
      <c r="AC50" t="str">
        <f t="shared" si="12"/>
        <v>No</v>
      </c>
      <c r="AD50" t="str">
        <f t="shared" si="13"/>
        <v>Consumes Alcohol</v>
      </c>
      <c r="AE50" t="str">
        <f t="shared" si="14"/>
        <v>No Stroke</v>
      </c>
      <c r="AF50" t="str">
        <f t="shared" si="15"/>
        <v>49 - M Schnelling</v>
      </c>
    </row>
    <row r="51" spans="1:32" x14ac:dyDescent="0.25">
      <c r="A51">
        <v>50</v>
      </c>
      <c r="B51" s="1">
        <v>45438</v>
      </c>
      <c r="C51">
        <v>34</v>
      </c>
      <c r="D51" t="s">
        <v>23</v>
      </c>
      <c r="E51" t="s">
        <v>105</v>
      </c>
      <c r="F51">
        <v>0</v>
      </c>
      <c r="G51">
        <v>0</v>
      </c>
      <c r="H51">
        <v>1</v>
      </c>
      <c r="I51" t="s">
        <v>24</v>
      </c>
      <c r="J51" t="s">
        <v>39</v>
      </c>
      <c r="K51">
        <v>126.11</v>
      </c>
      <c r="L51">
        <v>49.4</v>
      </c>
      <c r="M51" t="s">
        <v>32</v>
      </c>
      <c r="N51" t="s">
        <v>27</v>
      </c>
      <c r="O51" t="s">
        <v>34</v>
      </c>
      <c r="P51">
        <v>0</v>
      </c>
      <c r="Q51">
        <v>0</v>
      </c>
      <c r="R51">
        <v>11</v>
      </c>
      <c r="S51">
        <v>0</v>
      </c>
      <c r="T51" t="s">
        <v>35</v>
      </c>
      <c r="U51" t="s">
        <v>47</v>
      </c>
      <c r="V51">
        <v>70</v>
      </c>
      <c r="W51" t="s">
        <v>37</v>
      </c>
      <c r="X51">
        <v>0</v>
      </c>
      <c r="Y51" t="str">
        <f t="shared" si="8"/>
        <v>30-50</v>
      </c>
      <c r="Z51" t="str">
        <f t="shared" si="9"/>
        <v>High</v>
      </c>
      <c r="AA51" t="str">
        <f t="shared" si="10"/>
        <v>Yes</v>
      </c>
      <c r="AB51" t="str">
        <f t="shared" si="11"/>
        <v>No</v>
      </c>
      <c r="AC51" t="str">
        <f t="shared" si="12"/>
        <v>No</v>
      </c>
      <c r="AD51" t="str">
        <f t="shared" si="13"/>
        <v>No Alcohol</v>
      </c>
      <c r="AE51" t="str">
        <f t="shared" si="14"/>
        <v>No Stroke</v>
      </c>
      <c r="AF51" t="str">
        <f t="shared" si="15"/>
        <v>50 - J Braxton</v>
      </c>
    </row>
    <row r="52" spans="1:32" x14ac:dyDescent="0.25">
      <c r="A52">
        <v>51</v>
      </c>
      <c r="B52" s="1">
        <v>45439</v>
      </c>
      <c r="C52">
        <v>22</v>
      </c>
      <c r="D52" t="s">
        <v>38</v>
      </c>
      <c r="E52" t="s">
        <v>106</v>
      </c>
      <c r="F52">
        <v>0</v>
      </c>
      <c r="G52">
        <v>0</v>
      </c>
      <c r="H52">
        <v>0</v>
      </c>
      <c r="I52" t="s">
        <v>24</v>
      </c>
      <c r="J52" t="s">
        <v>25</v>
      </c>
      <c r="K52">
        <v>193.23</v>
      </c>
      <c r="L52">
        <v>35.5</v>
      </c>
      <c r="M52" t="s">
        <v>32</v>
      </c>
      <c r="N52" t="s">
        <v>27</v>
      </c>
      <c r="O52" t="s">
        <v>40</v>
      </c>
      <c r="P52">
        <v>0</v>
      </c>
      <c r="Q52">
        <v>0</v>
      </c>
      <c r="R52">
        <v>10</v>
      </c>
      <c r="S52">
        <v>1</v>
      </c>
      <c r="T52" t="s">
        <v>35</v>
      </c>
      <c r="U52" t="s">
        <v>30</v>
      </c>
      <c r="V52">
        <v>81</v>
      </c>
      <c r="W52" t="s">
        <v>31</v>
      </c>
      <c r="X52">
        <v>0</v>
      </c>
      <c r="Y52" t="str">
        <f t="shared" si="8"/>
        <v>&lt;30</v>
      </c>
      <c r="Z52" t="str">
        <f t="shared" si="9"/>
        <v>High</v>
      </c>
      <c r="AA52" t="str">
        <f t="shared" si="10"/>
        <v>Yes</v>
      </c>
      <c r="AB52" t="str">
        <f t="shared" si="11"/>
        <v>No</v>
      </c>
      <c r="AC52" t="str">
        <f t="shared" si="12"/>
        <v>No</v>
      </c>
      <c r="AD52" t="str">
        <f t="shared" si="13"/>
        <v>No Alcohol</v>
      </c>
      <c r="AE52" t="str">
        <f t="shared" si="14"/>
        <v>No Stroke</v>
      </c>
      <c r="AF52" t="str">
        <f t="shared" si="15"/>
        <v>51 - P Prost</v>
      </c>
    </row>
    <row r="53" spans="1:32" x14ac:dyDescent="0.25">
      <c r="A53">
        <v>52</v>
      </c>
      <c r="B53" s="1">
        <v>45440</v>
      </c>
      <c r="C53">
        <v>40</v>
      </c>
      <c r="D53" t="s">
        <v>38</v>
      </c>
      <c r="E53" t="s">
        <v>107</v>
      </c>
      <c r="F53">
        <v>0</v>
      </c>
      <c r="G53">
        <v>0</v>
      </c>
      <c r="H53">
        <v>0</v>
      </c>
      <c r="I53" t="s">
        <v>48</v>
      </c>
      <c r="J53" t="s">
        <v>25</v>
      </c>
      <c r="K53">
        <v>185.77</v>
      </c>
      <c r="L53">
        <v>47.1</v>
      </c>
      <c r="M53" t="s">
        <v>26</v>
      </c>
      <c r="N53" t="s">
        <v>27</v>
      </c>
      <c r="O53" t="s">
        <v>28</v>
      </c>
      <c r="P53">
        <v>0</v>
      </c>
      <c r="Q53">
        <v>0</v>
      </c>
      <c r="R53">
        <v>12</v>
      </c>
      <c r="S53">
        <v>0</v>
      </c>
      <c r="T53" t="s">
        <v>49</v>
      </c>
      <c r="U53" t="s">
        <v>47</v>
      </c>
      <c r="V53">
        <v>45</v>
      </c>
      <c r="W53" t="s">
        <v>45</v>
      </c>
      <c r="X53">
        <v>1</v>
      </c>
      <c r="Y53" t="str">
        <f t="shared" si="8"/>
        <v>30-50</v>
      </c>
      <c r="Z53" t="str">
        <f t="shared" si="9"/>
        <v>Medium</v>
      </c>
      <c r="AA53" t="str">
        <f t="shared" si="10"/>
        <v>No</v>
      </c>
      <c r="AB53" t="str">
        <f t="shared" si="11"/>
        <v>No</v>
      </c>
      <c r="AC53" t="str">
        <f t="shared" si="12"/>
        <v>No</v>
      </c>
      <c r="AD53" t="str">
        <f t="shared" si="13"/>
        <v>No Alcohol</v>
      </c>
      <c r="AE53" t="str">
        <f t="shared" si="14"/>
        <v>Stroke</v>
      </c>
      <c r="AF53" t="str">
        <f t="shared" si="15"/>
        <v>52 - A Zypern</v>
      </c>
    </row>
    <row r="54" spans="1:32" x14ac:dyDescent="0.25">
      <c r="A54">
        <v>53</v>
      </c>
      <c r="B54" s="1">
        <v>45441</v>
      </c>
      <c r="C54">
        <v>57</v>
      </c>
      <c r="D54" t="s">
        <v>38</v>
      </c>
      <c r="E54" t="s">
        <v>108</v>
      </c>
      <c r="F54">
        <v>0</v>
      </c>
      <c r="G54">
        <v>0</v>
      </c>
      <c r="H54">
        <v>0</v>
      </c>
      <c r="I54" t="s">
        <v>48</v>
      </c>
      <c r="J54" t="s">
        <v>39</v>
      </c>
      <c r="K54">
        <v>118.59</v>
      </c>
      <c r="L54">
        <v>14.6</v>
      </c>
      <c r="M54" t="s">
        <v>54</v>
      </c>
      <c r="N54" t="s">
        <v>27</v>
      </c>
      <c r="O54" t="s">
        <v>34</v>
      </c>
      <c r="P54">
        <v>0</v>
      </c>
      <c r="Q54">
        <v>0</v>
      </c>
      <c r="R54">
        <v>4</v>
      </c>
      <c r="S54">
        <v>0</v>
      </c>
      <c r="T54" t="s">
        <v>49</v>
      </c>
      <c r="U54" t="s">
        <v>36</v>
      </c>
      <c r="V54">
        <v>6</v>
      </c>
      <c r="W54" t="s">
        <v>45</v>
      </c>
      <c r="X54">
        <v>0</v>
      </c>
      <c r="Y54" t="str">
        <f t="shared" si="8"/>
        <v>50+</v>
      </c>
      <c r="Z54" t="str">
        <f t="shared" si="9"/>
        <v>Low</v>
      </c>
      <c r="AA54" t="str">
        <f t="shared" si="10"/>
        <v>No</v>
      </c>
      <c r="AB54" t="str">
        <f t="shared" si="11"/>
        <v>No</v>
      </c>
      <c r="AC54" t="str">
        <f t="shared" si="12"/>
        <v>No</v>
      </c>
      <c r="AD54" t="str">
        <f t="shared" si="13"/>
        <v>No Alcohol</v>
      </c>
      <c r="AE54" t="str">
        <f t="shared" si="14"/>
        <v>No Stroke</v>
      </c>
      <c r="AF54" t="str">
        <f t="shared" si="15"/>
        <v>53 - K Bern</v>
      </c>
    </row>
    <row r="55" spans="1:32" x14ac:dyDescent="0.25">
      <c r="A55">
        <v>54</v>
      </c>
      <c r="B55" s="1">
        <v>45442</v>
      </c>
      <c r="C55">
        <v>36</v>
      </c>
      <c r="D55" t="s">
        <v>38</v>
      </c>
      <c r="E55" t="s">
        <v>109</v>
      </c>
      <c r="F55">
        <v>0</v>
      </c>
      <c r="G55">
        <v>0</v>
      </c>
      <c r="H55">
        <v>0</v>
      </c>
      <c r="I55" t="s">
        <v>52</v>
      </c>
      <c r="J55" t="s">
        <v>25</v>
      </c>
      <c r="K55">
        <v>178.93</v>
      </c>
      <c r="L55">
        <v>39.200000000000003</v>
      </c>
      <c r="M55" t="s">
        <v>50</v>
      </c>
      <c r="N55" t="s">
        <v>33</v>
      </c>
      <c r="O55" t="s">
        <v>28</v>
      </c>
      <c r="P55">
        <v>1</v>
      </c>
      <c r="Q55">
        <v>0</v>
      </c>
      <c r="R55">
        <v>11</v>
      </c>
      <c r="S55">
        <v>0</v>
      </c>
      <c r="T55" t="s">
        <v>35</v>
      </c>
      <c r="U55" t="s">
        <v>30</v>
      </c>
      <c r="V55">
        <v>75</v>
      </c>
      <c r="W55" t="s">
        <v>41</v>
      </c>
      <c r="X55">
        <v>1</v>
      </c>
      <c r="Y55" t="str">
        <f t="shared" si="8"/>
        <v>30-50</v>
      </c>
      <c r="Z55" t="str">
        <f t="shared" si="9"/>
        <v>High</v>
      </c>
      <c r="AA55" t="str">
        <f t="shared" si="10"/>
        <v>Yes</v>
      </c>
      <c r="AB55" t="str">
        <f t="shared" si="11"/>
        <v>No</v>
      </c>
      <c r="AC55" t="str">
        <f t="shared" si="12"/>
        <v>No</v>
      </c>
      <c r="AD55" t="str">
        <f t="shared" si="13"/>
        <v>Consumes Alcohol</v>
      </c>
      <c r="AE55" t="str">
        <f t="shared" si="14"/>
        <v>Stroke</v>
      </c>
      <c r="AF55" t="str">
        <f t="shared" si="15"/>
        <v>54 - C Anderson</v>
      </c>
    </row>
    <row r="56" spans="1:32" x14ac:dyDescent="0.25">
      <c r="A56">
        <v>55</v>
      </c>
      <c r="B56" s="1">
        <v>45443</v>
      </c>
      <c r="C56">
        <v>76</v>
      </c>
      <c r="D56" t="s">
        <v>38</v>
      </c>
      <c r="E56" t="s">
        <v>110</v>
      </c>
      <c r="F56">
        <v>0</v>
      </c>
      <c r="G56">
        <v>0</v>
      </c>
      <c r="H56">
        <v>0</v>
      </c>
      <c r="I56" t="s">
        <v>24</v>
      </c>
      <c r="J56" t="s">
        <v>39</v>
      </c>
      <c r="K56">
        <v>141.83000000000001</v>
      </c>
      <c r="L56">
        <v>15.9</v>
      </c>
      <c r="M56" t="s">
        <v>50</v>
      </c>
      <c r="N56" t="s">
        <v>43</v>
      </c>
      <c r="O56" t="s">
        <v>34</v>
      </c>
      <c r="P56">
        <v>0</v>
      </c>
      <c r="Q56">
        <v>1</v>
      </c>
      <c r="R56">
        <v>9</v>
      </c>
      <c r="S56">
        <v>0</v>
      </c>
      <c r="T56" t="s">
        <v>35</v>
      </c>
      <c r="U56" t="s">
        <v>47</v>
      </c>
      <c r="V56">
        <v>94</v>
      </c>
      <c r="W56" t="s">
        <v>41</v>
      </c>
      <c r="X56">
        <v>0</v>
      </c>
      <c r="Y56" t="str">
        <f t="shared" si="8"/>
        <v>50+</v>
      </c>
      <c r="Z56" t="str">
        <f t="shared" si="9"/>
        <v>High</v>
      </c>
      <c r="AA56" t="str">
        <f t="shared" si="10"/>
        <v>Yes</v>
      </c>
      <c r="AB56" t="str">
        <f t="shared" si="11"/>
        <v>No</v>
      </c>
      <c r="AC56" t="str">
        <f t="shared" si="12"/>
        <v>No</v>
      </c>
      <c r="AD56" t="str">
        <f t="shared" si="13"/>
        <v>No Alcohol</v>
      </c>
      <c r="AE56" t="str">
        <f t="shared" si="14"/>
        <v>No Stroke</v>
      </c>
      <c r="AF56" t="str">
        <f t="shared" si="15"/>
        <v>55 - B Elias</v>
      </c>
    </row>
    <row r="57" spans="1:32" x14ac:dyDescent="0.25">
      <c r="A57">
        <v>56</v>
      </c>
      <c r="B57" s="1">
        <v>45444</v>
      </c>
      <c r="C57">
        <v>44</v>
      </c>
      <c r="D57" t="s">
        <v>38</v>
      </c>
      <c r="E57" t="s">
        <v>111</v>
      </c>
      <c r="F57">
        <v>0</v>
      </c>
      <c r="G57">
        <v>0</v>
      </c>
      <c r="H57">
        <v>0</v>
      </c>
      <c r="I57" t="s">
        <v>24</v>
      </c>
      <c r="J57" t="s">
        <v>25</v>
      </c>
      <c r="K57">
        <v>227.73</v>
      </c>
      <c r="L57">
        <v>26.2</v>
      </c>
      <c r="M57" t="s">
        <v>32</v>
      </c>
      <c r="N57" t="s">
        <v>43</v>
      </c>
      <c r="O57" t="s">
        <v>28</v>
      </c>
      <c r="P57">
        <v>0</v>
      </c>
      <c r="Q57">
        <v>0</v>
      </c>
      <c r="R57">
        <v>6</v>
      </c>
      <c r="S57">
        <v>0</v>
      </c>
      <c r="T57" t="s">
        <v>35</v>
      </c>
      <c r="U57" t="s">
        <v>30</v>
      </c>
      <c r="V57">
        <v>28</v>
      </c>
      <c r="W57" t="s">
        <v>31</v>
      </c>
      <c r="X57">
        <v>0</v>
      </c>
      <c r="Y57" t="str">
        <f t="shared" si="8"/>
        <v>30-50</v>
      </c>
      <c r="Z57" t="str">
        <f t="shared" si="9"/>
        <v>Low</v>
      </c>
      <c r="AA57" t="str">
        <f t="shared" si="10"/>
        <v>No</v>
      </c>
      <c r="AB57" t="str">
        <f t="shared" si="11"/>
        <v>No</v>
      </c>
      <c r="AC57" t="str">
        <f t="shared" si="12"/>
        <v>No</v>
      </c>
      <c r="AD57" t="str">
        <f t="shared" si="13"/>
        <v>No Alcohol</v>
      </c>
      <c r="AE57" t="str">
        <f t="shared" si="14"/>
        <v>No Stroke</v>
      </c>
      <c r="AF57" t="str">
        <f t="shared" si="15"/>
        <v>56 - C Hwang</v>
      </c>
    </row>
    <row r="58" spans="1:32" x14ac:dyDescent="0.25">
      <c r="A58">
        <v>57</v>
      </c>
      <c r="B58" s="1">
        <v>45445</v>
      </c>
      <c r="C58">
        <v>88</v>
      </c>
      <c r="D58" t="s">
        <v>23</v>
      </c>
      <c r="E58" t="s">
        <v>112</v>
      </c>
      <c r="F58">
        <v>1</v>
      </c>
      <c r="G58">
        <v>0</v>
      </c>
      <c r="H58">
        <v>0</v>
      </c>
      <c r="I58" t="s">
        <v>24</v>
      </c>
      <c r="J58" t="s">
        <v>25</v>
      </c>
      <c r="K58">
        <v>281.32</v>
      </c>
      <c r="L58">
        <v>14</v>
      </c>
      <c r="M58" t="s">
        <v>54</v>
      </c>
      <c r="N58" t="s">
        <v>27</v>
      </c>
      <c r="O58" t="s">
        <v>34</v>
      </c>
      <c r="P58">
        <v>0</v>
      </c>
      <c r="Q58">
        <v>0</v>
      </c>
      <c r="R58">
        <v>9</v>
      </c>
      <c r="S58">
        <v>0</v>
      </c>
      <c r="T58" t="s">
        <v>49</v>
      </c>
      <c r="U58" t="s">
        <v>47</v>
      </c>
      <c r="V58">
        <v>46</v>
      </c>
      <c r="W58" t="s">
        <v>31</v>
      </c>
      <c r="X58">
        <v>0</v>
      </c>
      <c r="Y58" t="str">
        <f t="shared" si="8"/>
        <v>50+</v>
      </c>
      <c r="Z58" t="str">
        <f t="shared" si="9"/>
        <v>Medium</v>
      </c>
      <c r="AA58" t="str">
        <f t="shared" si="10"/>
        <v>No</v>
      </c>
      <c r="AB58" t="str">
        <f t="shared" si="11"/>
        <v>Yes</v>
      </c>
      <c r="AC58" t="str">
        <f t="shared" si="12"/>
        <v>No</v>
      </c>
      <c r="AD58" t="str">
        <f t="shared" si="13"/>
        <v>No Alcohol</v>
      </c>
      <c r="AE58" t="str">
        <f t="shared" si="14"/>
        <v>No Stroke</v>
      </c>
      <c r="AF58" t="str">
        <f t="shared" si="15"/>
        <v>57 - M Haberlin</v>
      </c>
    </row>
    <row r="59" spans="1:32" x14ac:dyDescent="0.25">
      <c r="A59">
        <v>58</v>
      </c>
      <c r="B59" s="1">
        <v>45446</v>
      </c>
      <c r="C59">
        <v>59</v>
      </c>
      <c r="D59" t="s">
        <v>38</v>
      </c>
      <c r="E59" t="s">
        <v>113</v>
      </c>
      <c r="F59">
        <v>0</v>
      </c>
      <c r="G59">
        <v>0</v>
      </c>
      <c r="H59">
        <v>0</v>
      </c>
      <c r="I59" t="s">
        <v>42</v>
      </c>
      <c r="J59" t="s">
        <v>25</v>
      </c>
      <c r="K59">
        <v>249.06</v>
      </c>
      <c r="L59">
        <v>10</v>
      </c>
      <c r="M59" t="s">
        <v>26</v>
      </c>
      <c r="N59" t="s">
        <v>51</v>
      </c>
      <c r="O59" t="s">
        <v>28</v>
      </c>
      <c r="P59">
        <v>0</v>
      </c>
      <c r="Q59">
        <v>1</v>
      </c>
      <c r="R59">
        <v>10</v>
      </c>
      <c r="S59">
        <v>0</v>
      </c>
      <c r="T59" t="s">
        <v>49</v>
      </c>
      <c r="U59" t="s">
        <v>47</v>
      </c>
      <c r="V59">
        <v>15</v>
      </c>
      <c r="W59" t="s">
        <v>31</v>
      </c>
      <c r="X59">
        <v>0</v>
      </c>
      <c r="Y59" t="str">
        <f t="shared" si="8"/>
        <v>50+</v>
      </c>
      <c r="Z59" t="str">
        <f t="shared" si="9"/>
        <v>Low</v>
      </c>
      <c r="AA59" t="str">
        <f t="shared" si="10"/>
        <v>No</v>
      </c>
      <c r="AB59" t="str">
        <f t="shared" si="11"/>
        <v>No</v>
      </c>
      <c r="AC59" t="str">
        <f t="shared" si="12"/>
        <v>No</v>
      </c>
      <c r="AD59" t="str">
        <f t="shared" si="13"/>
        <v>No Alcohol</v>
      </c>
      <c r="AE59" t="str">
        <f t="shared" si="14"/>
        <v>No Stroke</v>
      </c>
      <c r="AF59" t="str">
        <f t="shared" si="15"/>
        <v>58 - J Ritter</v>
      </c>
    </row>
    <row r="60" spans="1:32" x14ac:dyDescent="0.25">
      <c r="A60">
        <v>59</v>
      </c>
      <c r="B60" s="1">
        <v>45447</v>
      </c>
      <c r="C60">
        <v>36</v>
      </c>
      <c r="D60" t="s">
        <v>23</v>
      </c>
      <c r="E60" t="s">
        <v>114</v>
      </c>
      <c r="F60">
        <v>0</v>
      </c>
      <c r="G60">
        <v>0</v>
      </c>
      <c r="H60">
        <v>0</v>
      </c>
      <c r="I60" t="s">
        <v>44</v>
      </c>
      <c r="J60" t="s">
        <v>39</v>
      </c>
      <c r="K60">
        <v>156.4</v>
      </c>
      <c r="L60">
        <v>27.4</v>
      </c>
      <c r="M60" t="s">
        <v>32</v>
      </c>
      <c r="N60" t="s">
        <v>43</v>
      </c>
      <c r="O60" t="s">
        <v>34</v>
      </c>
      <c r="P60">
        <v>0</v>
      </c>
      <c r="Q60">
        <v>0</v>
      </c>
      <c r="R60">
        <v>8</v>
      </c>
      <c r="S60">
        <v>0</v>
      </c>
      <c r="T60" t="s">
        <v>46</v>
      </c>
      <c r="U60" t="s">
        <v>47</v>
      </c>
      <c r="V60">
        <v>48</v>
      </c>
      <c r="W60" t="s">
        <v>37</v>
      </c>
      <c r="X60">
        <v>0</v>
      </c>
      <c r="Y60" t="str">
        <f t="shared" si="8"/>
        <v>30-50</v>
      </c>
      <c r="Z60" t="str">
        <f t="shared" si="9"/>
        <v>Medium</v>
      </c>
      <c r="AA60" t="str">
        <f t="shared" si="10"/>
        <v>No</v>
      </c>
      <c r="AB60" t="str">
        <f t="shared" si="11"/>
        <v>No</v>
      </c>
      <c r="AC60" t="str">
        <f t="shared" si="12"/>
        <v>No</v>
      </c>
      <c r="AD60" t="str">
        <f t="shared" si="13"/>
        <v>No Alcohol</v>
      </c>
      <c r="AE60" t="str">
        <f t="shared" si="14"/>
        <v>No Stroke</v>
      </c>
      <c r="AF60" t="str">
        <f t="shared" si="15"/>
        <v>59 - P Breyer</v>
      </c>
    </row>
    <row r="61" spans="1:32" x14ac:dyDescent="0.25">
      <c r="A61">
        <v>60</v>
      </c>
      <c r="B61" s="1">
        <v>45448</v>
      </c>
      <c r="C61">
        <v>86</v>
      </c>
      <c r="D61" t="s">
        <v>23</v>
      </c>
      <c r="E61" t="s">
        <v>115</v>
      </c>
      <c r="F61">
        <v>0</v>
      </c>
      <c r="G61">
        <v>1</v>
      </c>
      <c r="H61">
        <v>1</v>
      </c>
      <c r="I61" t="s">
        <v>24</v>
      </c>
      <c r="J61" t="s">
        <v>39</v>
      </c>
      <c r="K61">
        <v>97.48</v>
      </c>
      <c r="L61">
        <v>13.5</v>
      </c>
      <c r="M61" t="s">
        <v>54</v>
      </c>
      <c r="N61" t="s">
        <v>51</v>
      </c>
      <c r="O61" t="s">
        <v>40</v>
      </c>
      <c r="P61">
        <v>0</v>
      </c>
      <c r="Q61">
        <v>0</v>
      </c>
      <c r="R61">
        <v>6</v>
      </c>
      <c r="S61">
        <v>1</v>
      </c>
      <c r="T61" t="s">
        <v>35</v>
      </c>
      <c r="U61" t="s">
        <v>47</v>
      </c>
      <c r="V61">
        <v>4</v>
      </c>
      <c r="W61" t="s">
        <v>37</v>
      </c>
      <c r="X61">
        <v>0</v>
      </c>
      <c r="Y61" t="str">
        <f t="shared" si="8"/>
        <v>50+</v>
      </c>
      <c r="Z61" t="str">
        <f t="shared" si="9"/>
        <v>Low</v>
      </c>
      <c r="AA61" t="str">
        <f t="shared" si="10"/>
        <v>No</v>
      </c>
      <c r="AB61" t="str">
        <f t="shared" si="11"/>
        <v>No</v>
      </c>
      <c r="AC61" t="str">
        <f t="shared" si="12"/>
        <v>Yes</v>
      </c>
      <c r="AD61" t="str">
        <f t="shared" si="13"/>
        <v>No Alcohol</v>
      </c>
      <c r="AE61" t="str">
        <f t="shared" si="14"/>
        <v>No Stroke</v>
      </c>
      <c r="AF61" t="str">
        <f t="shared" si="15"/>
        <v>60 - J Stevenson</v>
      </c>
    </row>
    <row r="62" spans="1:32" x14ac:dyDescent="0.25">
      <c r="A62">
        <v>61</v>
      </c>
      <c r="B62" s="1">
        <v>45449</v>
      </c>
      <c r="C62">
        <v>84</v>
      </c>
      <c r="D62" t="s">
        <v>23</v>
      </c>
      <c r="E62" t="s">
        <v>116</v>
      </c>
      <c r="F62">
        <v>0</v>
      </c>
      <c r="G62">
        <v>0</v>
      </c>
      <c r="H62">
        <v>0</v>
      </c>
      <c r="I62" t="s">
        <v>44</v>
      </c>
      <c r="J62" t="s">
        <v>25</v>
      </c>
      <c r="K62">
        <v>83.36</v>
      </c>
      <c r="L62">
        <v>27.4</v>
      </c>
      <c r="M62" t="s">
        <v>54</v>
      </c>
      <c r="N62" t="s">
        <v>33</v>
      </c>
      <c r="O62" t="s">
        <v>28</v>
      </c>
      <c r="P62">
        <v>0</v>
      </c>
      <c r="Q62">
        <v>0</v>
      </c>
      <c r="R62">
        <v>11</v>
      </c>
      <c r="S62">
        <v>0</v>
      </c>
      <c r="T62" t="s">
        <v>49</v>
      </c>
      <c r="U62" t="s">
        <v>47</v>
      </c>
      <c r="V62">
        <v>56</v>
      </c>
      <c r="W62" t="s">
        <v>37</v>
      </c>
      <c r="X62">
        <v>0</v>
      </c>
      <c r="Y62" t="str">
        <f t="shared" si="8"/>
        <v>50+</v>
      </c>
      <c r="Z62" t="str">
        <f t="shared" si="9"/>
        <v>Medium</v>
      </c>
      <c r="AA62" t="str">
        <f t="shared" si="10"/>
        <v>No</v>
      </c>
      <c r="AB62" t="str">
        <f t="shared" si="11"/>
        <v>No</v>
      </c>
      <c r="AC62" t="str">
        <f t="shared" si="12"/>
        <v>No</v>
      </c>
      <c r="AD62" t="str">
        <f t="shared" si="13"/>
        <v>No Alcohol</v>
      </c>
      <c r="AE62" t="str">
        <f t="shared" si="14"/>
        <v>No Stroke</v>
      </c>
      <c r="AF62" t="str">
        <f t="shared" si="15"/>
        <v>61 - R DeVincentis</v>
      </c>
    </row>
    <row r="63" spans="1:32" x14ac:dyDescent="0.25">
      <c r="A63">
        <v>62</v>
      </c>
      <c r="B63" s="1">
        <v>45450</v>
      </c>
      <c r="C63">
        <v>22</v>
      </c>
      <c r="D63" t="s">
        <v>23</v>
      </c>
      <c r="E63" t="s">
        <v>117</v>
      </c>
      <c r="F63">
        <v>0</v>
      </c>
      <c r="G63">
        <v>0</v>
      </c>
      <c r="H63">
        <v>0</v>
      </c>
      <c r="I63" t="s">
        <v>24</v>
      </c>
      <c r="J63" t="s">
        <v>39</v>
      </c>
      <c r="K63">
        <v>212.27</v>
      </c>
      <c r="L63">
        <v>23.8</v>
      </c>
      <c r="M63" t="s">
        <v>50</v>
      </c>
      <c r="N63" t="s">
        <v>33</v>
      </c>
      <c r="O63" t="s">
        <v>34</v>
      </c>
      <c r="P63">
        <v>0</v>
      </c>
      <c r="Q63">
        <v>1</v>
      </c>
      <c r="R63">
        <v>3</v>
      </c>
      <c r="S63">
        <v>0</v>
      </c>
      <c r="T63" t="s">
        <v>35</v>
      </c>
      <c r="U63" t="s">
        <v>47</v>
      </c>
      <c r="V63">
        <v>96</v>
      </c>
      <c r="W63" t="s">
        <v>41</v>
      </c>
      <c r="X63">
        <v>0</v>
      </c>
      <c r="Y63" t="str">
        <f t="shared" si="8"/>
        <v>&lt;30</v>
      </c>
      <c r="Z63" t="str">
        <f t="shared" si="9"/>
        <v>High</v>
      </c>
      <c r="AA63" t="str">
        <f t="shared" si="10"/>
        <v>Yes</v>
      </c>
      <c r="AB63" t="str">
        <f t="shared" si="11"/>
        <v>No</v>
      </c>
      <c r="AC63" t="str">
        <f t="shared" si="12"/>
        <v>No</v>
      </c>
      <c r="AD63" t="str">
        <f t="shared" si="13"/>
        <v>No Alcohol</v>
      </c>
      <c r="AE63" t="str">
        <f t="shared" si="14"/>
        <v>No Stroke</v>
      </c>
      <c r="AF63" t="str">
        <f t="shared" si="15"/>
        <v>62 - D Kipp</v>
      </c>
    </row>
    <row r="64" spans="1:32" x14ac:dyDescent="0.25">
      <c r="A64">
        <v>63</v>
      </c>
      <c r="B64" s="1">
        <v>45451</v>
      </c>
      <c r="C64">
        <v>87</v>
      </c>
      <c r="D64" t="s">
        <v>38</v>
      </c>
      <c r="E64" t="s">
        <v>118</v>
      </c>
      <c r="F64">
        <v>1</v>
      </c>
      <c r="G64">
        <v>0</v>
      </c>
      <c r="H64">
        <v>0</v>
      </c>
      <c r="I64" t="s">
        <v>42</v>
      </c>
      <c r="J64" t="s">
        <v>25</v>
      </c>
      <c r="K64">
        <v>117.23</v>
      </c>
      <c r="L64">
        <v>30.2</v>
      </c>
      <c r="M64" t="s">
        <v>32</v>
      </c>
      <c r="N64" t="s">
        <v>51</v>
      </c>
      <c r="O64" t="s">
        <v>28</v>
      </c>
      <c r="P64">
        <v>0</v>
      </c>
      <c r="Q64">
        <v>0</v>
      </c>
      <c r="R64">
        <v>9</v>
      </c>
      <c r="S64">
        <v>0</v>
      </c>
      <c r="T64" t="s">
        <v>35</v>
      </c>
      <c r="U64" t="s">
        <v>30</v>
      </c>
      <c r="V64">
        <v>36</v>
      </c>
      <c r="W64" t="s">
        <v>41</v>
      </c>
      <c r="X64">
        <v>0</v>
      </c>
      <c r="Y64" t="str">
        <f t="shared" si="8"/>
        <v>50+</v>
      </c>
      <c r="Z64" t="str">
        <f t="shared" si="9"/>
        <v>Low</v>
      </c>
      <c r="AA64" t="str">
        <f t="shared" si="10"/>
        <v>No</v>
      </c>
      <c r="AB64" t="str">
        <f t="shared" si="11"/>
        <v>Yes</v>
      </c>
      <c r="AC64" t="str">
        <f t="shared" si="12"/>
        <v>No</v>
      </c>
      <c r="AD64" t="str">
        <f t="shared" si="13"/>
        <v>No Alcohol</v>
      </c>
      <c r="AE64" t="str">
        <f t="shared" si="14"/>
        <v>No Stroke</v>
      </c>
      <c r="AF64" t="str">
        <f t="shared" si="15"/>
        <v>63 - F McMath</v>
      </c>
    </row>
    <row r="65" spans="1:32" x14ac:dyDescent="0.25">
      <c r="A65">
        <v>64</v>
      </c>
      <c r="B65" s="1">
        <v>45452</v>
      </c>
      <c r="C65">
        <v>82</v>
      </c>
      <c r="D65" t="s">
        <v>38</v>
      </c>
      <c r="E65" t="s">
        <v>119</v>
      </c>
      <c r="F65">
        <v>1</v>
      </c>
      <c r="G65">
        <v>1</v>
      </c>
      <c r="H65">
        <v>0</v>
      </c>
      <c r="I65" t="s">
        <v>48</v>
      </c>
      <c r="J65" t="s">
        <v>39</v>
      </c>
      <c r="K65">
        <v>258.04000000000002</v>
      </c>
      <c r="L65">
        <v>24.6</v>
      </c>
      <c r="M65" t="s">
        <v>54</v>
      </c>
      <c r="N65" t="s">
        <v>27</v>
      </c>
      <c r="O65" t="s">
        <v>40</v>
      </c>
      <c r="P65">
        <v>1</v>
      </c>
      <c r="Q65">
        <v>0</v>
      </c>
      <c r="R65">
        <v>11</v>
      </c>
      <c r="S65">
        <v>0</v>
      </c>
      <c r="T65" t="s">
        <v>29</v>
      </c>
      <c r="U65" t="s">
        <v>47</v>
      </c>
      <c r="V65">
        <v>64</v>
      </c>
      <c r="W65" t="s">
        <v>41</v>
      </c>
      <c r="X65">
        <v>0</v>
      </c>
      <c r="Y65" t="str">
        <f t="shared" si="8"/>
        <v>50+</v>
      </c>
      <c r="Z65" t="str">
        <f t="shared" si="9"/>
        <v>Medium</v>
      </c>
      <c r="AA65" t="str">
        <f t="shared" si="10"/>
        <v>No</v>
      </c>
      <c r="AB65" t="str">
        <f t="shared" si="11"/>
        <v>Yes</v>
      </c>
      <c r="AC65" t="str">
        <f t="shared" si="12"/>
        <v>Yes</v>
      </c>
      <c r="AD65" t="str">
        <f t="shared" si="13"/>
        <v>Consumes Alcohol</v>
      </c>
      <c r="AE65" t="str">
        <f t="shared" si="14"/>
        <v>No Stroke</v>
      </c>
      <c r="AF65" t="str">
        <f t="shared" si="15"/>
        <v>64 - P Gardner</v>
      </c>
    </row>
    <row r="66" spans="1:32" x14ac:dyDescent="0.25">
      <c r="A66">
        <v>65</v>
      </c>
      <c r="B66" s="1">
        <v>45453</v>
      </c>
      <c r="C66">
        <v>85</v>
      </c>
      <c r="D66" t="s">
        <v>38</v>
      </c>
      <c r="E66" t="s">
        <v>120</v>
      </c>
      <c r="F66">
        <v>0</v>
      </c>
      <c r="G66">
        <v>0</v>
      </c>
      <c r="H66">
        <v>1</v>
      </c>
      <c r="I66" t="s">
        <v>24</v>
      </c>
      <c r="J66" t="s">
        <v>25</v>
      </c>
      <c r="K66">
        <v>222.47</v>
      </c>
      <c r="L66">
        <v>44.4</v>
      </c>
      <c r="M66" t="s">
        <v>32</v>
      </c>
      <c r="N66" t="s">
        <v>43</v>
      </c>
      <c r="O66" t="s">
        <v>28</v>
      </c>
      <c r="P66">
        <v>0</v>
      </c>
      <c r="Q66">
        <v>0</v>
      </c>
      <c r="R66">
        <v>6</v>
      </c>
      <c r="S66">
        <v>1</v>
      </c>
      <c r="T66" t="s">
        <v>29</v>
      </c>
      <c r="U66" t="s">
        <v>36</v>
      </c>
      <c r="V66">
        <v>63</v>
      </c>
      <c r="W66" t="s">
        <v>37</v>
      </c>
      <c r="X66">
        <v>0</v>
      </c>
      <c r="Y66" t="str">
        <f t="shared" ref="Y66:Y97" si="16">IF(C66&lt;30,"&lt;30",IF(C66&lt;=50,"30-50","50+"))</f>
        <v>50+</v>
      </c>
      <c r="Z66" t="str">
        <f t="shared" ref="Z66:Z97" si="17">IF(V66&gt;=70,"High",IF(V66&gt;=40,"Medium","Low"))</f>
        <v>Medium</v>
      </c>
      <c r="AA66" t="str">
        <f t="shared" ref="AA66:AA97" si="18">IF(V66&gt;=70,"Yes","No")</f>
        <v>No</v>
      </c>
      <c r="AB66" t="str">
        <f t="shared" ref="AB66:AB97" si="19">IF(F66=1,"Yes","No")</f>
        <v>No</v>
      </c>
      <c r="AC66" t="str">
        <f t="shared" ref="AC66:AC97" si="20">IF(G66=1,"Yes","No")</f>
        <v>No</v>
      </c>
      <c r="AD66" t="str">
        <f t="shared" ref="AD66:AD97" si="21">IF(P66=1,"Consumes Alcohol","No Alcohol")</f>
        <v>No Alcohol</v>
      </c>
      <c r="AE66" t="str">
        <f t="shared" ref="AE66:AE97" si="22">IF(X66=1,"Stroke","No Stroke")</f>
        <v>No Stroke</v>
      </c>
      <c r="AF66" t="str">
        <f t="shared" ref="AF66:AF97" si="23">A66&amp;" - "&amp;E66</f>
        <v>65 - E Ashbrook</v>
      </c>
    </row>
    <row r="67" spans="1:32" x14ac:dyDescent="0.25">
      <c r="A67">
        <v>66</v>
      </c>
      <c r="B67" s="1">
        <v>45454</v>
      </c>
      <c r="C67">
        <v>82</v>
      </c>
      <c r="D67" t="s">
        <v>53</v>
      </c>
      <c r="E67" t="s">
        <v>121</v>
      </c>
      <c r="F67">
        <v>0</v>
      </c>
      <c r="G67">
        <v>0</v>
      </c>
      <c r="H67">
        <v>0</v>
      </c>
      <c r="I67" t="s">
        <v>48</v>
      </c>
      <c r="J67" t="s">
        <v>39</v>
      </c>
      <c r="K67">
        <v>208.2</v>
      </c>
      <c r="L67">
        <v>29.8</v>
      </c>
      <c r="M67" t="s">
        <v>32</v>
      </c>
      <c r="N67" t="s">
        <v>51</v>
      </c>
      <c r="O67" t="s">
        <v>28</v>
      </c>
      <c r="P67">
        <v>1</v>
      </c>
      <c r="Q67">
        <v>0</v>
      </c>
      <c r="R67">
        <v>6</v>
      </c>
      <c r="S67">
        <v>0</v>
      </c>
      <c r="T67" t="s">
        <v>49</v>
      </c>
      <c r="U67" t="s">
        <v>47</v>
      </c>
      <c r="V67">
        <v>60</v>
      </c>
      <c r="W67" t="s">
        <v>45</v>
      </c>
      <c r="X67">
        <v>0</v>
      </c>
      <c r="Y67" t="str">
        <f t="shared" si="16"/>
        <v>50+</v>
      </c>
      <c r="Z67" t="str">
        <f t="shared" si="17"/>
        <v>Medium</v>
      </c>
      <c r="AA67" t="str">
        <f t="shared" si="18"/>
        <v>No</v>
      </c>
      <c r="AB67" t="str">
        <f t="shared" si="19"/>
        <v>No</v>
      </c>
      <c r="AC67" t="str">
        <f t="shared" si="20"/>
        <v>No</v>
      </c>
      <c r="AD67" t="str">
        <f t="shared" si="21"/>
        <v>Consumes Alcohol</v>
      </c>
      <c r="AE67" t="str">
        <f t="shared" si="22"/>
        <v>No Stroke</v>
      </c>
      <c r="AF67" t="str">
        <f t="shared" si="23"/>
        <v>66 - J Dryer</v>
      </c>
    </row>
    <row r="68" spans="1:32" x14ac:dyDescent="0.25">
      <c r="A68">
        <v>67</v>
      </c>
      <c r="B68" s="1">
        <v>45455</v>
      </c>
      <c r="C68">
        <v>46</v>
      </c>
      <c r="D68" t="s">
        <v>38</v>
      </c>
      <c r="E68" t="s">
        <v>122</v>
      </c>
      <c r="F68">
        <v>0</v>
      </c>
      <c r="G68">
        <v>0</v>
      </c>
      <c r="H68">
        <v>1</v>
      </c>
      <c r="I68" t="s">
        <v>52</v>
      </c>
      <c r="J68" t="s">
        <v>25</v>
      </c>
      <c r="K68">
        <v>131.99</v>
      </c>
      <c r="L68">
        <v>21.3</v>
      </c>
      <c r="M68" t="s">
        <v>32</v>
      </c>
      <c r="N68" t="s">
        <v>33</v>
      </c>
      <c r="O68" t="s">
        <v>40</v>
      </c>
      <c r="P68">
        <v>0</v>
      </c>
      <c r="Q68">
        <v>0</v>
      </c>
      <c r="R68">
        <v>6</v>
      </c>
      <c r="S68">
        <v>0</v>
      </c>
      <c r="T68" t="s">
        <v>29</v>
      </c>
      <c r="U68" t="s">
        <v>30</v>
      </c>
      <c r="V68">
        <v>76</v>
      </c>
      <c r="W68" t="s">
        <v>45</v>
      </c>
      <c r="X68">
        <v>0</v>
      </c>
      <c r="Y68" t="str">
        <f t="shared" si="16"/>
        <v>30-50</v>
      </c>
      <c r="Z68" t="str">
        <f t="shared" si="17"/>
        <v>High</v>
      </c>
      <c r="AA68" t="str">
        <f t="shared" si="18"/>
        <v>Yes</v>
      </c>
      <c r="AB68" t="str">
        <f t="shared" si="19"/>
        <v>No</v>
      </c>
      <c r="AC68" t="str">
        <f t="shared" si="20"/>
        <v>No</v>
      </c>
      <c r="AD68" t="str">
        <f t="shared" si="21"/>
        <v>No Alcohol</v>
      </c>
      <c r="AE68" t="str">
        <f t="shared" si="22"/>
        <v>No Stroke</v>
      </c>
      <c r="AF68" t="str">
        <f t="shared" si="23"/>
        <v>67 - G Weimer</v>
      </c>
    </row>
    <row r="69" spans="1:32" x14ac:dyDescent="0.25">
      <c r="A69">
        <v>68</v>
      </c>
      <c r="B69" s="1">
        <v>45456</v>
      </c>
      <c r="C69">
        <v>72</v>
      </c>
      <c r="D69" t="s">
        <v>23</v>
      </c>
      <c r="E69" t="s">
        <v>123</v>
      </c>
      <c r="F69">
        <v>0</v>
      </c>
      <c r="G69">
        <v>0</v>
      </c>
      <c r="H69">
        <v>0</v>
      </c>
      <c r="I69" t="s">
        <v>48</v>
      </c>
      <c r="J69" t="s">
        <v>25</v>
      </c>
      <c r="K69">
        <v>141.66</v>
      </c>
      <c r="L69">
        <v>15.2</v>
      </c>
      <c r="M69" t="s">
        <v>54</v>
      </c>
      <c r="N69" t="s">
        <v>33</v>
      </c>
      <c r="O69" t="s">
        <v>28</v>
      </c>
      <c r="P69">
        <v>0</v>
      </c>
      <c r="Q69">
        <v>0</v>
      </c>
      <c r="R69">
        <v>9</v>
      </c>
      <c r="S69">
        <v>0</v>
      </c>
      <c r="T69" t="s">
        <v>49</v>
      </c>
      <c r="U69" t="s">
        <v>47</v>
      </c>
      <c r="V69">
        <v>63</v>
      </c>
      <c r="W69" t="s">
        <v>31</v>
      </c>
      <c r="X69">
        <v>1</v>
      </c>
      <c r="Y69" t="str">
        <f t="shared" si="16"/>
        <v>50+</v>
      </c>
      <c r="Z69" t="str">
        <f t="shared" si="17"/>
        <v>Medium</v>
      </c>
      <c r="AA69" t="str">
        <f t="shared" si="18"/>
        <v>No</v>
      </c>
      <c r="AB69" t="str">
        <f t="shared" si="19"/>
        <v>No</v>
      </c>
      <c r="AC69" t="str">
        <f t="shared" si="20"/>
        <v>No</v>
      </c>
      <c r="AD69" t="str">
        <f t="shared" si="21"/>
        <v>No Alcohol</v>
      </c>
      <c r="AE69" t="str">
        <f t="shared" si="22"/>
        <v>Stroke</v>
      </c>
      <c r="AF69" t="str">
        <f t="shared" si="23"/>
        <v>68 - J Fjeld</v>
      </c>
    </row>
    <row r="70" spans="1:32" x14ac:dyDescent="0.25">
      <c r="A70">
        <v>69</v>
      </c>
      <c r="B70" s="1">
        <v>45457</v>
      </c>
      <c r="C70">
        <v>69</v>
      </c>
      <c r="D70" t="s">
        <v>38</v>
      </c>
      <c r="E70" t="s">
        <v>124</v>
      </c>
      <c r="F70">
        <v>0</v>
      </c>
      <c r="G70">
        <v>0</v>
      </c>
      <c r="H70">
        <v>0</v>
      </c>
      <c r="I70" t="s">
        <v>24</v>
      </c>
      <c r="J70" t="s">
        <v>25</v>
      </c>
      <c r="K70">
        <v>103.97</v>
      </c>
      <c r="L70">
        <v>42.9</v>
      </c>
      <c r="M70" t="s">
        <v>26</v>
      </c>
      <c r="N70" t="s">
        <v>27</v>
      </c>
      <c r="O70" t="s">
        <v>34</v>
      </c>
      <c r="P70">
        <v>0</v>
      </c>
      <c r="Q70">
        <v>0</v>
      </c>
      <c r="R70">
        <v>10</v>
      </c>
      <c r="S70">
        <v>0</v>
      </c>
      <c r="T70" t="s">
        <v>49</v>
      </c>
      <c r="U70" t="s">
        <v>36</v>
      </c>
      <c r="V70">
        <v>100</v>
      </c>
      <c r="W70" t="s">
        <v>37</v>
      </c>
      <c r="X70">
        <v>0</v>
      </c>
      <c r="Y70" t="str">
        <f t="shared" si="16"/>
        <v>50+</v>
      </c>
      <c r="Z70" t="str">
        <f t="shared" si="17"/>
        <v>High</v>
      </c>
      <c r="AA70" t="str">
        <f t="shared" si="18"/>
        <v>Yes</v>
      </c>
      <c r="AB70" t="str">
        <f t="shared" si="19"/>
        <v>No</v>
      </c>
      <c r="AC70" t="str">
        <f t="shared" si="20"/>
        <v>No</v>
      </c>
      <c r="AD70" t="str">
        <f t="shared" si="21"/>
        <v>No Alcohol</v>
      </c>
      <c r="AE70" t="str">
        <f t="shared" si="22"/>
        <v>No Stroke</v>
      </c>
      <c r="AF70" t="str">
        <f t="shared" si="23"/>
        <v>69 - G Tran</v>
      </c>
    </row>
    <row r="71" spans="1:32" x14ac:dyDescent="0.25">
      <c r="A71">
        <v>70</v>
      </c>
      <c r="B71" s="1">
        <v>45458</v>
      </c>
      <c r="C71">
        <v>70</v>
      </c>
      <c r="D71" t="s">
        <v>38</v>
      </c>
      <c r="E71" t="s">
        <v>125</v>
      </c>
      <c r="F71">
        <v>0</v>
      </c>
      <c r="G71">
        <v>0</v>
      </c>
      <c r="H71">
        <v>0</v>
      </c>
      <c r="I71" t="s">
        <v>52</v>
      </c>
      <c r="J71" t="s">
        <v>39</v>
      </c>
      <c r="K71">
        <v>168.13</v>
      </c>
      <c r="L71">
        <v>17.399999999999999</v>
      </c>
      <c r="M71" t="s">
        <v>26</v>
      </c>
      <c r="N71" t="s">
        <v>33</v>
      </c>
      <c r="O71" t="s">
        <v>34</v>
      </c>
      <c r="P71">
        <v>0</v>
      </c>
      <c r="Q71">
        <v>0</v>
      </c>
      <c r="R71">
        <v>7</v>
      </c>
      <c r="S71">
        <v>0</v>
      </c>
      <c r="T71" t="s">
        <v>29</v>
      </c>
      <c r="U71" t="s">
        <v>47</v>
      </c>
      <c r="V71">
        <v>37</v>
      </c>
      <c r="W71" t="s">
        <v>31</v>
      </c>
      <c r="X71">
        <v>0</v>
      </c>
      <c r="Y71" t="str">
        <f t="shared" si="16"/>
        <v>50+</v>
      </c>
      <c r="Z71" t="str">
        <f t="shared" si="17"/>
        <v>Low</v>
      </c>
      <c r="AA71" t="str">
        <f t="shared" si="18"/>
        <v>No</v>
      </c>
      <c r="AB71" t="str">
        <f t="shared" si="19"/>
        <v>No</v>
      </c>
      <c r="AC71" t="str">
        <f t="shared" si="20"/>
        <v>No</v>
      </c>
      <c r="AD71" t="str">
        <f t="shared" si="21"/>
        <v>No Alcohol</v>
      </c>
      <c r="AE71" t="str">
        <f t="shared" si="22"/>
        <v>No Stroke</v>
      </c>
      <c r="AF71" t="str">
        <f t="shared" si="23"/>
        <v>70 - A Hwang</v>
      </c>
    </row>
    <row r="72" spans="1:32" x14ac:dyDescent="0.25">
      <c r="A72">
        <v>71</v>
      </c>
      <c r="B72" s="1">
        <v>45459</v>
      </c>
      <c r="C72">
        <v>84</v>
      </c>
      <c r="D72" t="s">
        <v>38</v>
      </c>
      <c r="E72" t="s">
        <v>126</v>
      </c>
      <c r="F72">
        <v>0</v>
      </c>
      <c r="G72">
        <v>0</v>
      </c>
      <c r="H72">
        <v>0</v>
      </c>
      <c r="I72" t="s">
        <v>44</v>
      </c>
      <c r="J72" t="s">
        <v>25</v>
      </c>
      <c r="K72">
        <v>257.68</v>
      </c>
      <c r="L72">
        <v>28.2</v>
      </c>
      <c r="M72" t="s">
        <v>32</v>
      </c>
      <c r="N72" t="s">
        <v>33</v>
      </c>
      <c r="O72" t="s">
        <v>34</v>
      </c>
      <c r="P72">
        <v>0</v>
      </c>
      <c r="Q72">
        <v>0</v>
      </c>
      <c r="R72">
        <v>7</v>
      </c>
      <c r="S72">
        <v>0</v>
      </c>
      <c r="T72" t="s">
        <v>49</v>
      </c>
      <c r="U72" t="s">
        <v>36</v>
      </c>
      <c r="V72">
        <v>12</v>
      </c>
      <c r="W72" t="s">
        <v>45</v>
      </c>
      <c r="X72">
        <v>0</v>
      </c>
      <c r="Y72" t="str">
        <f t="shared" si="16"/>
        <v>50+</v>
      </c>
      <c r="Z72" t="str">
        <f t="shared" si="17"/>
        <v>Low</v>
      </c>
      <c r="AA72" t="str">
        <f t="shared" si="18"/>
        <v>No</v>
      </c>
      <c r="AB72" t="str">
        <f t="shared" si="19"/>
        <v>No</v>
      </c>
      <c r="AC72" t="str">
        <f t="shared" si="20"/>
        <v>No</v>
      </c>
      <c r="AD72" t="str">
        <f t="shared" si="21"/>
        <v>No Alcohol</v>
      </c>
      <c r="AE72" t="str">
        <f t="shared" si="22"/>
        <v>No Stroke</v>
      </c>
      <c r="AF72" t="str">
        <f t="shared" si="23"/>
        <v>71 - M Clasen</v>
      </c>
    </row>
    <row r="73" spans="1:32" x14ac:dyDescent="0.25">
      <c r="A73">
        <v>72</v>
      </c>
      <c r="B73" s="1">
        <v>45460</v>
      </c>
      <c r="C73">
        <v>60</v>
      </c>
      <c r="D73" t="s">
        <v>23</v>
      </c>
      <c r="E73" t="s">
        <v>127</v>
      </c>
      <c r="F73">
        <v>0</v>
      </c>
      <c r="G73">
        <v>0</v>
      </c>
      <c r="H73">
        <v>0</v>
      </c>
      <c r="I73" t="s">
        <v>52</v>
      </c>
      <c r="J73" t="s">
        <v>25</v>
      </c>
      <c r="K73">
        <v>114.33</v>
      </c>
      <c r="L73">
        <v>33.799999999999997</v>
      </c>
      <c r="M73" t="s">
        <v>32</v>
      </c>
      <c r="N73" t="s">
        <v>27</v>
      </c>
      <c r="O73" t="s">
        <v>28</v>
      </c>
      <c r="P73">
        <v>0</v>
      </c>
      <c r="Q73">
        <v>0</v>
      </c>
      <c r="R73">
        <v>11</v>
      </c>
      <c r="S73">
        <v>1</v>
      </c>
      <c r="T73" t="s">
        <v>29</v>
      </c>
      <c r="U73" t="s">
        <v>36</v>
      </c>
      <c r="V73">
        <v>88</v>
      </c>
      <c r="W73" t="s">
        <v>37</v>
      </c>
      <c r="X73">
        <v>0</v>
      </c>
      <c r="Y73" t="str">
        <f t="shared" si="16"/>
        <v>50+</v>
      </c>
      <c r="Z73" t="str">
        <f t="shared" si="17"/>
        <v>High</v>
      </c>
      <c r="AA73" t="str">
        <f t="shared" si="18"/>
        <v>Yes</v>
      </c>
      <c r="AB73" t="str">
        <f t="shared" si="19"/>
        <v>No</v>
      </c>
      <c r="AC73" t="str">
        <f t="shared" si="20"/>
        <v>No</v>
      </c>
      <c r="AD73" t="str">
        <f t="shared" si="21"/>
        <v>No Alcohol</v>
      </c>
      <c r="AE73" t="str">
        <f t="shared" si="22"/>
        <v>No Stroke</v>
      </c>
      <c r="AF73" t="str">
        <f t="shared" si="23"/>
        <v>72 - B Venier</v>
      </c>
    </row>
    <row r="74" spans="1:32" x14ac:dyDescent="0.25">
      <c r="A74">
        <v>73</v>
      </c>
      <c r="B74" s="1">
        <v>45461</v>
      </c>
      <c r="C74">
        <v>84</v>
      </c>
      <c r="D74" t="s">
        <v>38</v>
      </c>
      <c r="E74" t="s">
        <v>128</v>
      </c>
      <c r="F74">
        <v>0</v>
      </c>
      <c r="G74">
        <v>0</v>
      </c>
      <c r="H74">
        <v>0</v>
      </c>
      <c r="I74" t="s">
        <v>24</v>
      </c>
      <c r="J74" t="s">
        <v>39</v>
      </c>
      <c r="K74">
        <v>273.94</v>
      </c>
      <c r="L74">
        <v>17.100000000000001</v>
      </c>
      <c r="M74" t="s">
        <v>32</v>
      </c>
      <c r="N74" t="s">
        <v>51</v>
      </c>
      <c r="O74" t="s">
        <v>28</v>
      </c>
      <c r="P74">
        <v>1</v>
      </c>
      <c r="Q74">
        <v>0</v>
      </c>
      <c r="R74">
        <v>6</v>
      </c>
      <c r="S74">
        <v>0</v>
      </c>
      <c r="T74" t="s">
        <v>35</v>
      </c>
      <c r="U74" t="s">
        <v>47</v>
      </c>
      <c r="V74">
        <v>57</v>
      </c>
      <c r="W74" t="s">
        <v>37</v>
      </c>
      <c r="X74">
        <v>0</v>
      </c>
      <c r="Y74" t="str">
        <f t="shared" si="16"/>
        <v>50+</v>
      </c>
      <c r="Z74" t="str">
        <f t="shared" si="17"/>
        <v>Medium</v>
      </c>
      <c r="AA74" t="str">
        <f t="shared" si="18"/>
        <v>No</v>
      </c>
      <c r="AB74" t="str">
        <f t="shared" si="19"/>
        <v>No</v>
      </c>
      <c r="AC74" t="str">
        <f t="shared" si="20"/>
        <v>No</v>
      </c>
      <c r="AD74" t="str">
        <f t="shared" si="21"/>
        <v>Consumes Alcohol</v>
      </c>
      <c r="AE74" t="str">
        <f t="shared" si="22"/>
        <v>No Stroke</v>
      </c>
      <c r="AF74" t="str">
        <f t="shared" si="23"/>
        <v>73 - L Castell</v>
      </c>
    </row>
    <row r="75" spans="1:32" x14ac:dyDescent="0.25">
      <c r="A75">
        <v>74</v>
      </c>
      <c r="B75" s="1">
        <v>45462</v>
      </c>
      <c r="C75">
        <v>66</v>
      </c>
      <c r="D75" t="s">
        <v>38</v>
      </c>
      <c r="E75" t="s">
        <v>129</v>
      </c>
      <c r="F75">
        <v>1</v>
      </c>
      <c r="G75">
        <v>0</v>
      </c>
      <c r="H75">
        <v>1</v>
      </c>
      <c r="I75" t="s">
        <v>24</v>
      </c>
      <c r="J75" t="s">
        <v>39</v>
      </c>
      <c r="K75">
        <v>165.18</v>
      </c>
      <c r="L75">
        <v>36</v>
      </c>
      <c r="M75" t="s">
        <v>50</v>
      </c>
      <c r="N75" t="s">
        <v>27</v>
      </c>
      <c r="O75" t="s">
        <v>28</v>
      </c>
      <c r="P75">
        <v>0</v>
      </c>
      <c r="Q75">
        <v>1</v>
      </c>
      <c r="R75">
        <v>10</v>
      </c>
      <c r="S75">
        <v>0</v>
      </c>
      <c r="T75" t="s">
        <v>35</v>
      </c>
      <c r="U75" t="s">
        <v>47</v>
      </c>
      <c r="V75">
        <v>57</v>
      </c>
      <c r="W75" t="s">
        <v>31</v>
      </c>
      <c r="X75">
        <v>0</v>
      </c>
      <c r="Y75" t="str">
        <f t="shared" si="16"/>
        <v>50+</v>
      </c>
      <c r="Z75" t="str">
        <f t="shared" si="17"/>
        <v>Medium</v>
      </c>
      <c r="AA75" t="str">
        <f t="shared" si="18"/>
        <v>No</v>
      </c>
      <c r="AB75" t="str">
        <f t="shared" si="19"/>
        <v>Yes</v>
      </c>
      <c r="AC75" t="str">
        <f t="shared" si="20"/>
        <v>No</v>
      </c>
      <c r="AD75" t="str">
        <f t="shared" si="21"/>
        <v>No Alcohol</v>
      </c>
      <c r="AE75" t="str">
        <f t="shared" si="22"/>
        <v>No Stroke</v>
      </c>
      <c r="AF75" t="str">
        <f t="shared" si="23"/>
        <v>74 - P Hugh</v>
      </c>
    </row>
    <row r="76" spans="1:32" x14ac:dyDescent="0.25">
      <c r="A76">
        <v>75</v>
      </c>
      <c r="B76" s="1">
        <v>45463</v>
      </c>
      <c r="C76">
        <v>57</v>
      </c>
      <c r="D76" t="s">
        <v>53</v>
      </c>
      <c r="E76" t="s">
        <v>130</v>
      </c>
      <c r="F76">
        <v>0</v>
      </c>
      <c r="G76">
        <v>0</v>
      </c>
      <c r="H76">
        <v>0</v>
      </c>
      <c r="I76" t="s">
        <v>24</v>
      </c>
      <c r="J76" t="s">
        <v>39</v>
      </c>
      <c r="K76">
        <v>145.4</v>
      </c>
      <c r="L76">
        <v>41.1</v>
      </c>
      <c r="M76" t="s">
        <v>32</v>
      </c>
      <c r="N76" t="s">
        <v>43</v>
      </c>
      <c r="O76" t="s">
        <v>28</v>
      </c>
      <c r="P76">
        <v>0</v>
      </c>
      <c r="Q76">
        <v>0</v>
      </c>
      <c r="R76">
        <v>7</v>
      </c>
      <c r="S76">
        <v>0</v>
      </c>
      <c r="T76" t="s">
        <v>35</v>
      </c>
      <c r="U76" t="s">
        <v>30</v>
      </c>
      <c r="V76">
        <v>37</v>
      </c>
      <c r="W76" t="s">
        <v>41</v>
      </c>
      <c r="X76">
        <v>0</v>
      </c>
      <c r="Y76" t="str">
        <f t="shared" si="16"/>
        <v>50+</v>
      </c>
      <c r="Z76" t="str">
        <f t="shared" si="17"/>
        <v>Low</v>
      </c>
      <c r="AA76" t="str">
        <f t="shared" si="18"/>
        <v>No</v>
      </c>
      <c r="AB76" t="str">
        <f t="shared" si="19"/>
        <v>No</v>
      </c>
      <c r="AC76" t="str">
        <f t="shared" si="20"/>
        <v>No</v>
      </c>
      <c r="AD76" t="str">
        <f t="shared" si="21"/>
        <v>No Alcohol</v>
      </c>
      <c r="AE76" t="str">
        <f t="shared" si="22"/>
        <v>No Stroke</v>
      </c>
      <c r="AF76" t="str">
        <f t="shared" si="23"/>
        <v>75 - T Zic</v>
      </c>
    </row>
    <row r="77" spans="1:32" x14ac:dyDescent="0.25">
      <c r="A77">
        <v>76</v>
      </c>
      <c r="B77" s="1">
        <v>45464</v>
      </c>
      <c r="C77">
        <v>41</v>
      </c>
      <c r="D77" t="s">
        <v>23</v>
      </c>
      <c r="E77" t="s">
        <v>131</v>
      </c>
      <c r="F77">
        <v>0</v>
      </c>
      <c r="G77">
        <v>0</v>
      </c>
      <c r="H77">
        <v>0</v>
      </c>
      <c r="I77" t="s">
        <v>48</v>
      </c>
      <c r="J77" t="s">
        <v>39</v>
      </c>
      <c r="K77">
        <v>194.67</v>
      </c>
      <c r="L77">
        <v>18</v>
      </c>
      <c r="M77" t="s">
        <v>26</v>
      </c>
      <c r="N77" t="s">
        <v>27</v>
      </c>
      <c r="O77" t="s">
        <v>28</v>
      </c>
      <c r="P77">
        <v>0</v>
      </c>
      <c r="Q77">
        <v>0</v>
      </c>
      <c r="R77">
        <v>12</v>
      </c>
      <c r="S77">
        <v>0</v>
      </c>
      <c r="T77" t="s">
        <v>29</v>
      </c>
      <c r="U77" t="s">
        <v>47</v>
      </c>
      <c r="V77">
        <v>9</v>
      </c>
      <c r="W77" t="s">
        <v>37</v>
      </c>
      <c r="X77">
        <v>0</v>
      </c>
      <c r="Y77" t="str">
        <f t="shared" si="16"/>
        <v>30-50</v>
      </c>
      <c r="Z77" t="str">
        <f t="shared" si="17"/>
        <v>Low</v>
      </c>
      <c r="AA77" t="str">
        <f t="shared" si="18"/>
        <v>No</v>
      </c>
      <c r="AB77" t="str">
        <f t="shared" si="19"/>
        <v>No</v>
      </c>
      <c r="AC77" t="str">
        <f t="shared" si="20"/>
        <v>No</v>
      </c>
      <c r="AD77" t="str">
        <f t="shared" si="21"/>
        <v>No Alcohol</v>
      </c>
      <c r="AE77" t="str">
        <f t="shared" si="22"/>
        <v>No Stroke</v>
      </c>
      <c r="AF77" t="str">
        <f t="shared" si="23"/>
        <v>76 - A Crouse</v>
      </c>
    </row>
    <row r="78" spans="1:32" x14ac:dyDescent="0.25">
      <c r="A78">
        <v>77</v>
      </c>
      <c r="B78" s="1">
        <v>45465</v>
      </c>
      <c r="C78">
        <v>61</v>
      </c>
      <c r="D78" t="s">
        <v>23</v>
      </c>
      <c r="E78" t="s">
        <v>132</v>
      </c>
      <c r="F78">
        <v>0</v>
      </c>
      <c r="G78">
        <v>0</v>
      </c>
      <c r="H78">
        <v>1</v>
      </c>
      <c r="I78" t="s">
        <v>24</v>
      </c>
      <c r="J78" t="s">
        <v>25</v>
      </c>
      <c r="K78">
        <v>189.58</v>
      </c>
      <c r="L78">
        <v>14.9</v>
      </c>
      <c r="M78" t="s">
        <v>32</v>
      </c>
      <c r="N78" t="s">
        <v>27</v>
      </c>
      <c r="O78" t="s">
        <v>28</v>
      </c>
      <c r="P78">
        <v>0</v>
      </c>
      <c r="Q78">
        <v>0</v>
      </c>
      <c r="R78">
        <v>10</v>
      </c>
      <c r="S78">
        <v>0</v>
      </c>
      <c r="T78" t="s">
        <v>35</v>
      </c>
      <c r="U78" t="s">
        <v>30</v>
      </c>
      <c r="V78">
        <v>98</v>
      </c>
      <c r="W78" t="s">
        <v>45</v>
      </c>
      <c r="X78">
        <v>0</v>
      </c>
      <c r="Y78" t="str">
        <f t="shared" si="16"/>
        <v>50+</v>
      </c>
      <c r="Z78" t="str">
        <f t="shared" si="17"/>
        <v>High</v>
      </c>
      <c r="AA78" t="str">
        <f t="shared" si="18"/>
        <v>Yes</v>
      </c>
      <c r="AB78" t="str">
        <f t="shared" si="19"/>
        <v>No</v>
      </c>
      <c r="AC78" t="str">
        <f t="shared" si="20"/>
        <v>No</v>
      </c>
      <c r="AD78" t="str">
        <f t="shared" si="21"/>
        <v>No Alcohol</v>
      </c>
      <c r="AE78" t="str">
        <f t="shared" si="22"/>
        <v>No Stroke</v>
      </c>
      <c r="AF78" t="str">
        <f t="shared" si="23"/>
        <v>77 - B Degenhardt</v>
      </c>
    </row>
    <row r="79" spans="1:32" x14ac:dyDescent="0.25">
      <c r="A79">
        <v>78</v>
      </c>
      <c r="B79" s="1">
        <v>45466</v>
      </c>
      <c r="C79">
        <v>25</v>
      </c>
      <c r="D79" t="s">
        <v>38</v>
      </c>
      <c r="E79" t="s">
        <v>133</v>
      </c>
      <c r="F79">
        <v>0</v>
      </c>
      <c r="G79">
        <v>1</v>
      </c>
      <c r="H79">
        <v>0</v>
      </c>
      <c r="I79" t="s">
        <v>24</v>
      </c>
      <c r="J79" t="s">
        <v>39</v>
      </c>
      <c r="K79">
        <v>115.07</v>
      </c>
      <c r="L79">
        <v>37.299999999999997</v>
      </c>
      <c r="M79" t="s">
        <v>50</v>
      </c>
      <c r="N79" t="s">
        <v>27</v>
      </c>
      <c r="O79" t="s">
        <v>34</v>
      </c>
      <c r="P79">
        <v>0</v>
      </c>
      <c r="Q79">
        <v>0</v>
      </c>
      <c r="R79">
        <v>3</v>
      </c>
      <c r="S79">
        <v>0</v>
      </c>
      <c r="T79" t="s">
        <v>35</v>
      </c>
      <c r="U79" t="s">
        <v>30</v>
      </c>
      <c r="V79">
        <v>95</v>
      </c>
      <c r="W79" t="s">
        <v>41</v>
      </c>
      <c r="X79">
        <v>0</v>
      </c>
      <c r="Y79" t="str">
        <f t="shared" si="16"/>
        <v>&lt;30</v>
      </c>
      <c r="Z79" t="str">
        <f t="shared" si="17"/>
        <v>High</v>
      </c>
      <c r="AA79" t="str">
        <f t="shared" si="18"/>
        <v>Yes</v>
      </c>
      <c r="AB79" t="str">
        <f t="shared" si="19"/>
        <v>No</v>
      </c>
      <c r="AC79" t="str">
        <f t="shared" si="20"/>
        <v>Yes</v>
      </c>
      <c r="AD79" t="str">
        <f t="shared" si="21"/>
        <v>No Alcohol</v>
      </c>
      <c r="AE79" t="str">
        <f t="shared" si="22"/>
        <v>No Stroke</v>
      </c>
      <c r="AF79" t="str">
        <f t="shared" si="23"/>
        <v>78 - D Lawera</v>
      </c>
    </row>
    <row r="80" spans="1:32" x14ac:dyDescent="0.25">
      <c r="A80">
        <v>79</v>
      </c>
      <c r="B80" s="1">
        <v>45467</v>
      </c>
      <c r="C80">
        <v>81</v>
      </c>
      <c r="D80" t="s">
        <v>38</v>
      </c>
      <c r="E80" t="s">
        <v>134</v>
      </c>
      <c r="F80">
        <v>0</v>
      </c>
      <c r="G80">
        <v>0</v>
      </c>
      <c r="H80">
        <v>0</v>
      </c>
      <c r="I80" t="s">
        <v>24</v>
      </c>
      <c r="J80" t="s">
        <v>25</v>
      </c>
      <c r="K80">
        <v>205.56</v>
      </c>
      <c r="L80">
        <v>44.9</v>
      </c>
      <c r="M80" t="s">
        <v>26</v>
      </c>
      <c r="N80" t="s">
        <v>33</v>
      </c>
      <c r="O80" t="s">
        <v>34</v>
      </c>
      <c r="P80">
        <v>0</v>
      </c>
      <c r="Q80">
        <v>1</v>
      </c>
      <c r="R80">
        <v>10</v>
      </c>
      <c r="S80">
        <v>1</v>
      </c>
      <c r="T80" t="s">
        <v>49</v>
      </c>
      <c r="U80" t="s">
        <v>30</v>
      </c>
      <c r="V80">
        <v>68</v>
      </c>
      <c r="W80" t="s">
        <v>41</v>
      </c>
      <c r="X80">
        <v>0</v>
      </c>
      <c r="Y80" t="str">
        <f t="shared" si="16"/>
        <v>50+</v>
      </c>
      <c r="Z80" t="str">
        <f t="shared" si="17"/>
        <v>Medium</v>
      </c>
      <c r="AA80" t="str">
        <f t="shared" si="18"/>
        <v>No</v>
      </c>
      <c r="AB80" t="str">
        <f t="shared" si="19"/>
        <v>No</v>
      </c>
      <c r="AC80" t="str">
        <f t="shared" si="20"/>
        <v>No</v>
      </c>
      <c r="AD80" t="str">
        <f t="shared" si="21"/>
        <v>No Alcohol</v>
      </c>
      <c r="AE80" t="str">
        <f t="shared" si="22"/>
        <v>No Stroke</v>
      </c>
      <c r="AF80" t="str">
        <f t="shared" si="23"/>
        <v>79 - E Barreto</v>
      </c>
    </row>
    <row r="81" spans="1:32" x14ac:dyDescent="0.25">
      <c r="A81">
        <v>80</v>
      </c>
      <c r="B81" s="1">
        <v>45468</v>
      </c>
      <c r="C81">
        <v>20</v>
      </c>
      <c r="D81" t="s">
        <v>23</v>
      </c>
      <c r="E81" t="s">
        <v>135</v>
      </c>
      <c r="F81">
        <v>1</v>
      </c>
      <c r="G81">
        <v>0</v>
      </c>
      <c r="H81">
        <v>1</v>
      </c>
      <c r="I81" t="s">
        <v>42</v>
      </c>
      <c r="J81" t="s">
        <v>39</v>
      </c>
      <c r="K81">
        <v>228.5</v>
      </c>
      <c r="L81">
        <v>47.4</v>
      </c>
      <c r="M81" t="s">
        <v>54</v>
      </c>
      <c r="N81" t="s">
        <v>33</v>
      </c>
      <c r="O81" t="s">
        <v>28</v>
      </c>
      <c r="P81">
        <v>0</v>
      </c>
      <c r="Q81">
        <v>0</v>
      </c>
      <c r="R81">
        <v>12</v>
      </c>
      <c r="S81">
        <v>0</v>
      </c>
      <c r="T81" t="s">
        <v>35</v>
      </c>
      <c r="U81" t="s">
        <v>36</v>
      </c>
      <c r="V81">
        <v>22</v>
      </c>
      <c r="W81" t="s">
        <v>45</v>
      </c>
      <c r="X81">
        <v>0</v>
      </c>
      <c r="Y81" t="str">
        <f t="shared" si="16"/>
        <v>&lt;30</v>
      </c>
      <c r="Z81" t="str">
        <f t="shared" si="17"/>
        <v>Low</v>
      </c>
      <c r="AA81" t="str">
        <f t="shared" si="18"/>
        <v>No</v>
      </c>
      <c r="AB81" t="str">
        <f t="shared" si="19"/>
        <v>Yes</v>
      </c>
      <c r="AC81" t="str">
        <f t="shared" si="20"/>
        <v>No</v>
      </c>
      <c r="AD81" t="str">
        <f t="shared" si="21"/>
        <v>No Alcohol</v>
      </c>
      <c r="AE81" t="str">
        <f t="shared" si="22"/>
        <v>No Stroke</v>
      </c>
      <c r="AF81" t="str">
        <f t="shared" si="23"/>
        <v>80 - D Weiss</v>
      </c>
    </row>
    <row r="82" spans="1:32" x14ac:dyDescent="0.25">
      <c r="A82">
        <v>81</v>
      </c>
      <c r="B82" s="1">
        <v>45469</v>
      </c>
      <c r="C82">
        <v>76</v>
      </c>
      <c r="D82" t="s">
        <v>23</v>
      </c>
      <c r="E82" t="s">
        <v>136</v>
      </c>
      <c r="F82">
        <v>0</v>
      </c>
      <c r="G82">
        <v>0</v>
      </c>
      <c r="H82">
        <v>0</v>
      </c>
      <c r="I82" t="s">
        <v>24</v>
      </c>
      <c r="J82" t="s">
        <v>39</v>
      </c>
      <c r="K82">
        <v>214.83</v>
      </c>
      <c r="L82">
        <v>23.8</v>
      </c>
      <c r="M82" t="s">
        <v>32</v>
      </c>
      <c r="N82" t="s">
        <v>33</v>
      </c>
      <c r="O82" t="s">
        <v>40</v>
      </c>
      <c r="P82">
        <v>0</v>
      </c>
      <c r="Q82">
        <v>0</v>
      </c>
      <c r="R82">
        <v>6</v>
      </c>
      <c r="S82">
        <v>0</v>
      </c>
      <c r="T82" t="s">
        <v>35</v>
      </c>
      <c r="U82" t="s">
        <v>47</v>
      </c>
      <c r="V82">
        <v>8</v>
      </c>
      <c r="W82" t="s">
        <v>45</v>
      </c>
      <c r="X82">
        <v>0</v>
      </c>
      <c r="Y82" t="str">
        <f t="shared" si="16"/>
        <v>50+</v>
      </c>
      <c r="Z82" t="str">
        <f t="shared" si="17"/>
        <v>Low</v>
      </c>
      <c r="AA82" t="str">
        <f t="shared" si="18"/>
        <v>No</v>
      </c>
      <c r="AB82" t="str">
        <f t="shared" si="19"/>
        <v>No</v>
      </c>
      <c r="AC82" t="str">
        <f t="shared" si="20"/>
        <v>No</v>
      </c>
      <c r="AD82" t="str">
        <f t="shared" si="21"/>
        <v>No Alcohol</v>
      </c>
      <c r="AE82" t="str">
        <f t="shared" si="22"/>
        <v>No Stroke</v>
      </c>
      <c r="AF82" t="str">
        <f t="shared" si="23"/>
        <v>81 - L Cacioppo</v>
      </c>
    </row>
    <row r="83" spans="1:32" x14ac:dyDescent="0.25">
      <c r="A83">
        <v>82</v>
      </c>
      <c r="B83" s="1">
        <v>45470</v>
      </c>
      <c r="C83">
        <v>42</v>
      </c>
      <c r="D83" t="s">
        <v>23</v>
      </c>
      <c r="E83" t="s">
        <v>137</v>
      </c>
      <c r="F83">
        <v>0</v>
      </c>
      <c r="G83">
        <v>0</v>
      </c>
      <c r="H83">
        <v>0</v>
      </c>
      <c r="I83" t="s">
        <v>24</v>
      </c>
      <c r="J83" t="s">
        <v>25</v>
      </c>
      <c r="K83">
        <v>219.12</v>
      </c>
      <c r="L83">
        <v>40.799999999999997</v>
      </c>
      <c r="M83" t="s">
        <v>32</v>
      </c>
      <c r="N83" t="s">
        <v>33</v>
      </c>
      <c r="O83" t="s">
        <v>28</v>
      </c>
      <c r="P83">
        <v>0</v>
      </c>
      <c r="Q83">
        <v>1</v>
      </c>
      <c r="R83">
        <v>3</v>
      </c>
      <c r="S83">
        <v>0</v>
      </c>
      <c r="T83" t="s">
        <v>46</v>
      </c>
      <c r="U83" t="s">
        <v>36</v>
      </c>
      <c r="V83">
        <v>85</v>
      </c>
      <c r="W83" t="s">
        <v>41</v>
      </c>
      <c r="X83">
        <v>0</v>
      </c>
      <c r="Y83" t="str">
        <f t="shared" si="16"/>
        <v>30-50</v>
      </c>
      <c r="Z83" t="str">
        <f t="shared" si="17"/>
        <v>High</v>
      </c>
      <c r="AA83" t="str">
        <f t="shared" si="18"/>
        <v>Yes</v>
      </c>
      <c r="AB83" t="str">
        <f t="shared" si="19"/>
        <v>No</v>
      </c>
      <c r="AC83" t="str">
        <f t="shared" si="20"/>
        <v>No</v>
      </c>
      <c r="AD83" t="str">
        <f t="shared" si="21"/>
        <v>No Alcohol</v>
      </c>
      <c r="AE83" t="str">
        <f t="shared" si="22"/>
        <v>No Stroke</v>
      </c>
      <c r="AF83" t="str">
        <f t="shared" si="23"/>
        <v>82 - R Reed</v>
      </c>
    </row>
    <row r="84" spans="1:32" x14ac:dyDescent="0.25">
      <c r="A84">
        <v>83</v>
      </c>
      <c r="B84" s="1">
        <v>45471</v>
      </c>
      <c r="C84">
        <v>81</v>
      </c>
      <c r="D84" t="s">
        <v>23</v>
      </c>
      <c r="E84" t="s">
        <v>138</v>
      </c>
      <c r="F84">
        <v>0</v>
      </c>
      <c r="G84">
        <v>1</v>
      </c>
      <c r="H84">
        <v>1</v>
      </c>
      <c r="I84" t="s">
        <v>44</v>
      </c>
      <c r="J84" t="s">
        <v>25</v>
      </c>
      <c r="K84">
        <v>247.61</v>
      </c>
      <c r="L84">
        <v>26.5</v>
      </c>
      <c r="M84" t="s">
        <v>26</v>
      </c>
      <c r="N84" t="s">
        <v>27</v>
      </c>
      <c r="O84" t="s">
        <v>28</v>
      </c>
      <c r="P84">
        <v>0</v>
      </c>
      <c r="Q84">
        <v>1</v>
      </c>
      <c r="R84">
        <v>7</v>
      </c>
      <c r="S84">
        <v>0</v>
      </c>
      <c r="T84" t="s">
        <v>35</v>
      </c>
      <c r="U84" t="s">
        <v>30</v>
      </c>
      <c r="V84">
        <v>84</v>
      </c>
      <c r="W84" t="s">
        <v>31</v>
      </c>
      <c r="X84">
        <v>0</v>
      </c>
      <c r="Y84" t="str">
        <f t="shared" si="16"/>
        <v>50+</v>
      </c>
      <c r="Z84" t="str">
        <f t="shared" si="17"/>
        <v>High</v>
      </c>
      <c r="AA84" t="str">
        <f t="shared" si="18"/>
        <v>Yes</v>
      </c>
      <c r="AB84" t="str">
        <f t="shared" si="19"/>
        <v>No</v>
      </c>
      <c r="AC84" t="str">
        <f t="shared" si="20"/>
        <v>Yes</v>
      </c>
      <c r="AD84" t="str">
        <f t="shared" si="21"/>
        <v>No Alcohol</v>
      </c>
      <c r="AE84" t="str">
        <f t="shared" si="22"/>
        <v>No Stroke</v>
      </c>
      <c r="AF84" t="str">
        <f t="shared" si="23"/>
        <v>83 - K Daniels</v>
      </c>
    </row>
    <row r="85" spans="1:32" x14ac:dyDescent="0.25">
      <c r="A85">
        <v>84</v>
      </c>
      <c r="B85" s="1">
        <v>45472</v>
      </c>
      <c r="C85">
        <v>30</v>
      </c>
      <c r="D85" t="s">
        <v>38</v>
      </c>
      <c r="E85" t="s">
        <v>139</v>
      </c>
      <c r="F85">
        <v>0</v>
      </c>
      <c r="G85">
        <v>0</v>
      </c>
      <c r="H85">
        <v>0</v>
      </c>
      <c r="I85" t="s">
        <v>24</v>
      </c>
      <c r="J85" t="s">
        <v>25</v>
      </c>
      <c r="K85">
        <v>174.34</v>
      </c>
      <c r="L85">
        <v>30.1</v>
      </c>
      <c r="M85" t="s">
        <v>32</v>
      </c>
      <c r="N85" t="s">
        <v>27</v>
      </c>
      <c r="O85" t="s">
        <v>34</v>
      </c>
      <c r="P85">
        <v>0</v>
      </c>
      <c r="Q85">
        <v>0</v>
      </c>
      <c r="R85">
        <v>4</v>
      </c>
      <c r="S85">
        <v>1</v>
      </c>
      <c r="T85" t="s">
        <v>29</v>
      </c>
      <c r="U85" t="s">
        <v>47</v>
      </c>
      <c r="V85">
        <v>28</v>
      </c>
      <c r="W85" t="s">
        <v>41</v>
      </c>
      <c r="X85">
        <v>0</v>
      </c>
      <c r="Y85" t="str">
        <f t="shared" si="16"/>
        <v>30-50</v>
      </c>
      <c r="Z85" t="str">
        <f t="shared" si="17"/>
        <v>Low</v>
      </c>
      <c r="AA85" t="str">
        <f t="shared" si="18"/>
        <v>No</v>
      </c>
      <c r="AB85" t="str">
        <f t="shared" si="19"/>
        <v>No</v>
      </c>
      <c r="AC85" t="str">
        <f t="shared" si="20"/>
        <v>No</v>
      </c>
      <c r="AD85" t="str">
        <f t="shared" si="21"/>
        <v>No Alcohol</v>
      </c>
      <c r="AE85" t="str">
        <f t="shared" si="22"/>
        <v>No Stroke</v>
      </c>
      <c r="AF85" t="str">
        <f t="shared" si="23"/>
        <v>84 - O Nelson</v>
      </c>
    </row>
    <row r="86" spans="1:32" x14ac:dyDescent="0.25">
      <c r="A86">
        <v>85</v>
      </c>
      <c r="B86" s="1">
        <v>45473</v>
      </c>
      <c r="C86">
        <v>42</v>
      </c>
      <c r="D86" t="s">
        <v>38</v>
      </c>
      <c r="E86" t="s">
        <v>140</v>
      </c>
      <c r="F86">
        <v>0</v>
      </c>
      <c r="G86">
        <v>0</v>
      </c>
      <c r="H86">
        <v>1</v>
      </c>
      <c r="I86" t="s">
        <v>24</v>
      </c>
      <c r="J86" t="s">
        <v>39</v>
      </c>
      <c r="K86">
        <v>85.08</v>
      </c>
      <c r="L86">
        <v>40</v>
      </c>
      <c r="M86" t="s">
        <v>32</v>
      </c>
      <c r="N86" t="s">
        <v>27</v>
      </c>
      <c r="O86" t="s">
        <v>40</v>
      </c>
      <c r="P86">
        <v>0</v>
      </c>
      <c r="Q86">
        <v>0</v>
      </c>
      <c r="R86">
        <v>6</v>
      </c>
      <c r="S86">
        <v>0</v>
      </c>
      <c r="T86" t="s">
        <v>49</v>
      </c>
      <c r="U86" t="s">
        <v>36</v>
      </c>
      <c r="V86">
        <v>27</v>
      </c>
      <c r="W86" t="s">
        <v>31</v>
      </c>
      <c r="X86">
        <v>0</v>
      </c>
      <c r="Y86" t="str">
        <f t="shared" si="16"/>
        <v>30-50</v>
      </c>
      <c r="Z86" t="str">
        <f t="shared" si="17"/>
        <v>Low</v>
      </c>
      <c r="AA86" t="str">
        <f t="shared" si="18"/>
        <v>No</v>
      </c>
      <c r="AB86" t="str">
        <f t="shared" si="19"/>
        <v>No</v>
      </c>
      <c r="AC86" t="str">
        <f t="shared" si="20"/>
        <v>No</v>
      </c>
      <c r="AD86" t="str">
        <f t="shared" si="21"/>
        <v>No Alcohol</v>
      </c>
      <c r="AE86" t="str">
        <f t="shared" si="22"/>
        <v>No Stroke</v>
      </c>
      <c r="AF86" t="str">
        <f t="shared" si="23"/>
        <v>85 - B Hoffman</v>
      </c>
    </row>
    <row r="87" spans="1:32" x14ac:dyDescent="0.25">
      <c r="A87">
        <v>86</v>
      </c>
      <c r="B87" s="1">
        <v>45474</v>
      </c>
      <c r="C87">
        <v>76</v>
      </c>
      <c r="D87" t="s">
        <v>23</v>
      </c>
      <c r="E87" t="s">
        <v>141</v>
      </c>
      <c r="F87">
        <v>0</v>
      </c>
      <c r="G87">
        <v>0</v>
      </c>
      <c r="H87">
        <v>1</v>
      </c>
      <c r="I87" t="s">
        <v>44</v>
      </c>
      <c r="J87" t="s">
        <v>25</v>
      </c>
      <c r="K87">
        <v>117.9</v>
      </c>
      <c r="L87">
        <v>46.7</v>
      </c>
      <c r="M87" t="s">
        <v>32</v>
      </c>
      <c r="N87" t="s">
        <v>33</v>
      </c>
      <c r="O87" t="s">
        <v>34</v>
      </c>
      <c r="P87">
        <v>0</v>
      </c>
      <c r="Q87">
        <v>0</v>
      </c>
      <c r="R87">
        <v>7</v>
      </c>
      <c r="S87">
        <v>0</v>
      </c>
      <c r="T87" t="s">
        <v>29</v>
      </c>
      <c r="U87" t="s">
        <v>47</v>
      </c>
      <c r="V87">
        <v>67</v>
      </c>
      <c r="W87" t="s">
        <v>45</v>
      </c>
      <c r="X87">
        <v>0</v>
      </c>
      <c r="Y87" t="str">
        <f t="shared" si="16"/>
        <v>50+</v>
      </c>
      <c r="Z87" t="str">
        <f t="shared" si="17"/>
        <v>Medium</v>
      </c>
      <c r="AA87" t="str">
        <f t="shared" si="18"/>
        <v>No</v>
      </c>
      <c r="AB87" t="str">
        <f t="shared" si="19"/>
        <v>No</v>
      </c>
      <c r="AC87" t="str">
        <f t="shared" si="20"/>
        <v>No</v>
      </c>
      <c r="AD87" t="str">
        <f t="shared" si="21"/>
        <v>No Alcohol</v>
      </c>
      <c r="AE87" t="str">
        <f t="shared" si="22"/>
        <v>No Stroke</v>
      </c>
      <c r="AF87" t="str">
        <f t="shared" si="23"/>
        <v>86 - J Gross</v>
      </c>
    </row>
    <row r="88" spans="1:32" x14ac:dyDescent="0.25">
      <c r="A88">
        <v>87</v>
      </c>
      <c r="B88" s="1">
        <v>45475</v>
      </c>
      <c r="C88">
        <v>57</v>
      </c>
      <c r="D88" t="s">
        <v>23</v>
      </c>
      <c r="E88" t="s">
        <v>142</v>
      </c>
      <c r="F88">
        <v>0</v>
      </c>
      <c r="G88">
        <v>0</v>
      </c>
      <c r="H88">
        <v>1</v>
      </c>
      <c r="I88" t="s">
        <v>24</v>
      </c>
      <c r="J88" t="s">
        <v>39</v>
      </c>
      <c r="K88">
        <v>263.39999999999998</v>
      </c>
      <c r="L88">
        <v>39.4</v>
      </c>
      <c r="M88" t="s">
        <v>32</v>
      </c>
      <c r="N88" t="s">
        <v>33</v>
      </c>
      <c r="O88" t="s">
        <v>34</v>
      </c>
      <c r="P88">
        <v>0</v>
      </c>
      <c r="Q88">
        <v>1</v>
      </c>
      <c r="R88">
        <v>11</v>
      </c>
      <c r="S88">
        <v>0</v>
      </c>
      <c r="T88" t="s">
        <v>35</v>
      </c>
      <c r="U88" t="s">
        <v>36</v>
      </c>
      <c r="V88">
        <v>60</v>
      </c>
      <c r="W88" t="s">
        <v>37</v>
      </c>
      <c r="X88">
        <v>0</v>
      </c>
      <c r="Y88" t="str">
        <f t="shared" si="16"/>
        <v>50+</v>
      </c>
      <c r="Z88" t="str">
        <f t="shared" si="17"/>
        <v>Medium</v>
      </c>
      <c r="AA88" t="str">
        <f t="shared" si="18"/>
        <v>No</v>
      </c>
      <c r="AB88" t="str">
        <f t="shared" si="19"/>
        <v>No</v>
      </c>
      <c r="AC88" t="str">
        <f t="shared" si="20"/>
        <v>No</v>
      </c>
      <c r="AD88" t="str">
        <f t="shared" si="21"/>
        <v>No Alcohol</v>
      </c>
      <c r="AE88" t="str">
        <f t="shared" si="22"/>
        <v>No Stroke</v>
      </c>
      <c r="AF88" t="str">
        <f t="shared" si="23"/>
        <v>87 - C Carreira</v>
      </c>
    </row>
    <row r="89" spans="1:32" x14ac:dyDescent="0.25">
      <c r="A89">
        <v>88</v>
      </c>
      <c r="B89" s="1">
        <v>45476</v>
      </c>
      <c r="C89">
        <v>78</v>
      </c>
      <c r="D89" t="s">
        <v>23</v>
      </c>
      <c r="E89" t="s">
        <v>143</v>
      </c>
      <c r="F89">
        <v>0</v>
      </c>
      <c r="G89">
        <v>0</v>
      </c>
      <c r="H89">
        <v>0</v>
      </c>
      <c r="I89" t="s">
        <v>42</v>
      </c>
      <c r="J89" t="s">
        <v>39</v>
      </c>
      <c r="K89">
        <v>136.86000000000001</v>
      </c>
      <c r="L89">
        <v>37.700000000000003</v>
      </c>
      <c r="M89" t="s">
        <v>32</v>
      </c>
      <c r="N89" t="s">
        <v>51</v>
      </c>
      <c r="O89" t="s">
        <v>34</v>
      </c>
      <c r="P89">
        <v>0</v>
      </c>
      <c r="Q89">
        <v>0</v>
      </c>
      <c r="R89">
        <v>10</v>
      </c>
      <c r="S89">
        <v>0</v>
      </c>
      <c r="T89" t="s">
        <v>35</v>
      </c>
      <c r="U89" t="s">
        <v>47</v>
      </c>
      <c r="V89">
        <v>47</v>
      </c>
      <c r="W89" t="s">
        <v>37</v>
      </c>
      <c r="X89">
        <v>0</v>
      </c>
      <c r="Y89" t="str">
        <f t="shared" si="16"/>
        <v>50+</v>
      </c>
      <c r="Z89" t="str">
        <f t="shared" si="17"/>
        <v>Medium</v>
      </c>
      <c r="AA89" t="str">
        <f t="shared" si="18"/>
        <v>No</v>
      </c>
      <c r="AB89" t="str">
        <f t="shared" si="19"/>
        <v>No</v>
      </c>
      <c r="AC89" t="str">
        <f t="shared" si="20"/>
        <v>No</v>
      </c>
      <c r="AD89" t="str">
        <f t="shared" si="21"/>
        <v>No Alcohol</v>
      </c>
      <c r="AE89" t="str">
        <f t="shared" si="22"/>
        <v>No Stroke</v>
      </c>
      <c r="AF89" t="str">
        <f t="shared" si="23"/>
        <v>88 - C Cortes</v>
      </c>
    </row>
    <row r="90" spans="1:32" x14ac:dyDescent="0.25">
      <c r="A90">
        <v>89</v>
      </c>
      <c r="B90" s="1">
        <v>45477</v>
      </c>
      <c r="C90">
        <v>68</v>
      </c>
      <c r="D90" t="s">
        <v>38</v>
      </c>
      <c r="E90" t="s">
        <v>144</v>
      </c>
      <c r="F90">
        <v>0</v>
      </c>
      <c r="G90">
        <v>0</v>
      </c>
      <c r="H90">
        <v>0</v>
      </c>
      <c r="I90" t="s">
        <v>44</v>
      </c>
      <c r="J90" t="s">
        <v>25</v>
      </c>
      <c r="K90">
        <v>283.63</v>
      </c>
      <c r="L90">
        <v>44.5</v>
      </c>
      <c r="M90" t="s">
        <v>32</v>
      </c>
      <c r="N90" t="s">
        <v>27</v>
      </c>
      <c r="O90" t="s">
        <v>34</v>
      </c>
      <c r="P90">
        <v>0</v>
      </c>
      <c r="Q90">
        <v>0</v>
      </c>
      <c r="R90">
        <v>7</v>
      </c>
      <c r="S90">
        <v>1</v>
      </c>
      <c r="T90" t="s">
        <v>35</v>
      </c>
      <c r="U90" t="s">
        <v>36</v>
      </c>
      <c r="V90">
        <v>49</v>
      </c>
      <c r="W90" t="s">
        <v>37</v>
      </c>
      <c r="X90">
        <v>0</v>
      </c>
      <c r="Y90" t="str">
        <f t="shared" si="16"/>
        <v>50+</v>
      </c>
      <c r="Z90" t="str">
        <f t="shared" si="17"/>
        <v>Medium</v>
      </c>
      <c r="AA90" t="str">
        <f t="shared" si="18"/>
        <v>No</v>
      </c>
      <c r="AB90" t="str">
        <f t="shared" si="19"/>
        <v>No</v>
      </c>
      <c r="AC90" t="str">
        <f t="shared" si="20"/>
        <v>No</v>
      </c>
      <c r="AD90" t="str">
        <f t="shared" si="21"/>
        <v>No Alcohol</v>
      </c>
      <c r="AE90" t="str">
        <f t="shared" si="22"/>
        <v>No Stroke</v>
      </c>
      <c r="AF90" t="str">
        <f t="shared" si="23"/>
        <v>89 - T Swint</v>
      </c>
    </row>
    <row r="91" spans="1:32" x14ac:dyDescent="0.25">
      <c r="A91">
        <v>90</v>
      </c>
      <c r="B91" s="1">
        <v>45478</v>
      </c>
      <c r="C91">
        <v>62</v>
      </c>
      <c r="D91" t="s">
        <v>38</v>
      </c>
      <c r="E91" t="s">
        <v>145</v>
      </c>
      <c r="F91">
        <v>1</v>
      </c>
      <c r="G91">
        <v>0</v>
      </c>
      <c r="H91">
        <v>0</v>
      </c>
      <c r="I91" t="s">
        <v>48</v>
      </c>
      <c r="J91" t="s">
        <v>25</v>
      </c>
      <c r="K91">
        <v>232.11</v>
      </c>
      <c r="L91">
        <v>49.2</v>
      </c>
      <c r="M91" t="s">
        <v>32</v>
      </c>
      <c r="N91" t="s">
        <v>51</v>
      </c>
      <c r="O91" t="s">
        <v>28</v>
      </c>
      <c r="P91">
        <v>0</v>
      </c>
      <c r="Q91">
        <v>0</v>
      </c>
      <c r="R91">
        <v>8</v>
      </c>
      <c r="S91">
        <v>0</v>
      </c>
      <c r="T91" t="s">
        <v>29</v>
      </c>
      <c r="U91" t="s">
        <v>47</v>
      </c>
      <c r="V91">
        <v>17</v>
      </c>
      <c r="W91" t="s">
        <v>41</v>
      </c>
      <c r="X91">
        <v>0</v>
      </c>
      <c r="Y91" t="str">
        <f t="shared" si="16"/>
        <v>50+</v>
      </c>
      <c r="Z91" t="str">
        <f t="shared" si="17"/>
        <v>Low</v>
      </c>
      <c r="AA91" t="str">
        <f t="shared" si="18"/>
        <v>No</v>
      </c>
      <c r="AB91" t="str">
        <f t="shared" si="19"/>
        <v>Yes</v>
      </c>
      <c r="AC91" t="str">
        <f t="shared" si="20"/>
        <v>No</v>
      </c>
      <c r="AD91" t="str">
        <f t="shared" si="21"/>
        <v>No Alcohol</v>
      </c>
      <c r="AE91" t="str">
        <f t="shared" si="22"/>
        <v>No Stroke</v>
      </c>
      <c r="AF91" t="str">
        <f t="shared" si="23"/>
        <v>90 - A Avila</v>
      </c>
    </row>
    <row r="92" spans="1:32" x14ac:dyDescent="0.25">
      <c r="A92">
        <v>91</v>
      </c>
      <c r="B92" s="1">
        <v>45479</v>
      </c>
      <c r="C92">
        <v>88</v>
      </c>
      <c r="D92" t="s">
        <v>38</v>
      </c>
      <c r="E92" t="s">
        <v>146</v>
      </c>
      <c r="F92">
        <v>0</v>
      </c>
      <c r="G92">
        <v>0</v>
      </c>
      <c r="H92">
        <v>1</v>
      </c>
      <c r="I92" t="s">
        <v>24</v>
      </c>
      <c r="J92" t="s">
        <v>25</v>
      </c>
      <c r="K92">
        <v>219.95</v>
      </c>
      <c r="L92">
        <v>28.8</v>
      </c>
      <c r="M92" t="s">
        <v>32</v>
      </c>
      <c r="N92" t="s">
        <v>27</v>
      </c>
      <c r="O92" t="s">
        <v>40</v>
      </c>
      <c r="P92">
        <v>1</v>
      </c>
      <c r="Q92">
        <v>0</v>
      </c>
      <c r="R92">
        <v>4</v>
      </c>
      <c r="S92">
        <v>0</v>
      </c>
      <c r="T92" t="s">
        <v>46</v>
      </c>
      <c r="U92" t="s">
        <v>36</v>
      </c>
      <c r="V92">
        <v>52</v>
      </c>
      <c r="W92" t="s">
        <v>45</v>
      </c>
      <c r="X92">
        <v>0</v>
      </c>
      <c r="Y92" t="str">
        <f t="shared" si="16"/>
        <v>50+</v>
      </c>
      <c r="Z92" t="str">
        <f t="shared" si="17"/>
        <v>Medium</v>
      </c>
      <c r="AA92" t="str">
        <f t="shared" si="18"/>
        <v>No</v>
      </c>
      <c r="AB92" t="str">
        <f t="shared" si="19"/>
        <v>No</v>
      </c>
      <c r="AC92" t="str">
        <f t="shared" si="20"/>
        <v>No</v>
      </c>
      <c r="AD92" t="str">
        <f t="shared" si="21"/>
        <v>Consumes Alcohol</v>
      </c>
      <c r="AE92" t="str">
        <f t="shared" si="22"/>
        <v>No Stroke</v>
      </c>
      <c r="AF92" t="str">
        <f t="shared" si="23"/>
        <v>91 - M Granlund</v>
      </c>
    </row>
    <row r="93" spans="1:32" x14ac:dyDescent="0.25">
      <c r="A93">
        <v>92</v>
      </c>
      <c r="B93" s="1">
        <v>45480</v>
      </c>
      <c r="C93">
        <v>52</v>
      </c>
      <c r="D93" t="s">
        <v>38</v>
      </c>
      <c r="E93" t="s">
        <v>147</v>
      </c>
      <c r="F93">
        <v>0</v>
      </c>
      <c r="G93">
        <v>0</v>
      </c>
      <c r="H93">
        <v>0</v>
      </c>
      <c r="I93" t="s">
        <v>42</v>
      </c>
      <c r="J93" t="s">
        <v>39</v>
      </c>
      <c r="K93">
        <v>124.71</v>
      </c>
      <c r="L93">
        <v>36.9</v>
      </c>
      <c r="M93" t="s">
        <v>32</v>
      </c>
      <c r="N93" t="s">
        <v>33</v>
      </c>
      <c r="O93" t="s">
        <v>28</v>
      </c>
      <c r="P93">
        <v>0</v>
      </c>
      <c r="Q93">
        <v>0</v>
      </c>
      <c r="R93">
        <v>11</v>
      </c>
      <c r="S93">
        <v>1</v>
      </c>
      <c r="T93" t="s">
        <v>35</v>
      </c>
      <c r="U93" t="s">
        <v>47</v>
      </c>
      <c r="V93">
        <v>73</v>
      </c>
      <c r="W93" t="s">
        <v>37</v>
      </c>
      <c r="X93">
        <v>0</v>
      </c>
      <c r="Y93" t="str">
        <f t="shared" si="16"/>
        <v>50+</v>
      </c>
      <c r="Z93" t="str">
        <f t="shared" si="17"/>
        <v>High</v>
      </c>
      <c r="AA93" t="str">
        <f t="shared" si="18"/>
        <v>Yes</v>
      </c>
      <c r="AB93" t="str">
        <f t="shared" si="19"/>
        <v>No</v>
      </c>
      <c r="AC93" t="str">
        <f t="shared" si="20"/>
        <v>No</v>
      </c>
      <c r="AD93" t="str">
        <f t="shared" si="21"/>
        <v>No Alcohol</v>
      </c>
      <c r="AE93" t="str">
        <f t="shared" si="22"/>
        <v>No Stroke</v>
      </c>
      <c r="AF93" t="str">
        <f t="shared" si="23"/>
        <v>92 - R Ferguson</v>
      </c>
    </row>
    <row r="94" spans="1:32" x14ac:dyDescent="0.25">
      <c r="A94">
        <v>93</v>
      </c>
      <c r="B94" s="1">
        <v>45481</v>
      </c>
      <c r="C94">
        <v>35</v>
      </c>
      <c r="D94" t="s">
        <v>23</v>
      </c>
      <c r="E94" t="s">
        <v>148</v>
      </c>
      <c r="F94">
        <v>0</v>
      </c>
      <c r="G94">
        <v>0</v>
      </c>
      <c r="H94">
        <v>0</v>
      </c>
      <c r="I94" t="s">
        <v>48</v>
      </c>
      <c r="J94" t="s">
        <v>39</v>
      </c>
      <c r="K94">
        <v>235.66</v>
      </c>
      <c r="L94">
        <v>27.6</v>
      </c>
      <c r="M94" t="s">
        <v>32</v>
      </c>
      <c r="N94" t="s">
        <v>27</v>
      </c>
      <c r="O94" t="s">
        <v>28</v>
      </c>
      <c r="P94">
        <v>1</v>
      </c>
      <c r="Q94">
        <v>1</v>
      </c>
      <c r="R94">
        <v>10</v>
      </c>
      <c r="S94">
        <v>0</v>
      </c>
      <c r="T94" t="s">
        <v>49</v>
      </c>
      <c r="U94" t="s">
        <v>47</v>
      </c>
      <c r="V94">
        <v>74</v>
      </c>
      <c r="W94" t="s">
        <v>31</v>
      </c>
      <c r="X94">
        <v>0</v>
      </c>
      <c r="Y94" t="str">
        <f t="shared" si="16"/>
        <v>30-50</v>
      </c>
      <c r="Z94" t="str">
        <f t="shared" si="17"/>
        <v>High</v>
      </c>
      <c r="AA94" t="str">
        <f t="shared" si="18"/>
        <v>Yes</v>
      </c>
      <c r="AB94" t="str">
        <f t="shared" si="19"/>
        <v>No</v>
      </c>
      <c r="AC94" t="str">
        <f t="shared" si="20"/>
        <v>No</v>
      </c>
      <c r="AD94" t="str">
        <f t="shared" si="21"/>
        <v>Consumes Alcohol</v>
      </c>
      <c r="AE94" t="str">
        <f t="shared" si="22"/>
        <v>No Stroke</v>
      </c>
      <c r="AF94" t="str">
        <f t="shared" si="23"/>
        <v>93 - R Duston</v>
      </c>
    </row>
    <row r="95" spans="1:32" x14ac:dyDescent="0.25">
      <c r="A95">
        <v>94</v>
      </c>
      <c r="B95" s="1">
        <v>45482</v>
      </c>
      <c r="C95">
        <v>38</v>
      </c>
      <c r="D95" t="s">
        <v>23</v>
      </c>
      <c r="E95" t="s">
        <v>149</v>
      </c>
      <c r="F95">
        <v>1</v>
      </c>
      <c r="G95">
        <v>0</v>
      </c>
      <c r="H95">
        <v>0</v>
      </c>
      <c r="I95" t="s">
        <v>24</v>
      </c>
      <c r="J95" t="s">
        <v>25</v>
      </c>
      <c r="K95">
        <v>170.96</v>
      </c>
      <c r="L95">
        <v>47.4</v>
      </c>
      <c r="M95" t="s">
        <v>32</v>
      </c>
      <c r="N95" t="s">
        <v>27</v>
      </c>
      <c r="O95" t="s">
        <v>34</v>
      </c>
      <c r="P95">
        <v>1</v>
      </c>
      <c r="Q95">
        <v>0</v>
      </c>
      <c r="R95">
        <v>5</v>
      </c>
      <c r="S95">
        <v>0</v>
      </c>
      <c r="T95" t="s">
        <v>35</v>
      </c>
      <c r="U95" t="s">
        <v>47</v>
      </c>
      <c r="V95">
        <v>8</v>
      </c>
      <c r="W95" t="s">
        <v>41</v>
      </c>
      <c r="X95">
        <v>0</v>
      </c>
      <c r="Y95" t="str">
        <f t="shared" si="16"/>
        <v>30-50</v>
      </c>
      <c r="Z95" t="str">
        <f t="shared" si="17"/>
        <v>Low</v>
      </c>
      <c r="AA95" t="str">
        <f t="shared" si="18"/>
        <v>No</v>
      </c>
      <c r="AB95" t="str">
        <f t="shared" si="19"/>
        <v>Yes</v>
      </c>
      <c r="AC95" t="str">
        <f t="shared" si="20"/>
        <v>No</v>
      </c>
      <c r="AD95" t="str">
        <f t="shared" si="21"/>
        <v>Consumes Alcohol</v>
      </c>
      <c r="AE95" t="str">
        <f t="shared" si="22"/>
        <v>No Stroke</v>
      </c>
      <c r="AF95" t="str">
        <f t="shared" si="23"/>
        <v>94 - E McCrary</v>
      </c>
    </row>
    <row r="96" spans="1:32" x14ac:dyDescent="0.25">
      <c r="A96">
        <v>95</v>
      </c>
      <c r="B96" s="1">
        <v>45483</v>
      </c>
      <c r="C96">
        <v>33</v>
      </c>
      <c r="D96" t="s">
        <v>23</v>
      </c>
      <c r="E96" t="s">
        <v>150</v>
      </c>
      <c r="F96">
        <v>0</v>
      </c>
      <c r="G96">
        <v>0</v>
      </c>
      <c r="H96">
        <v>0</v>
      </c>
      <c r="I96" t="s">
        <v>42</v>
      </c>
      <c r="J96" t="s">
        <v>25</v>
      </c>
      <c r="K96">
        <v>102.53</v>
      </c>
      <c r="L96">
        <v>44.9</v>
      </c>
      <c r="M96" t="s">
        <v>32</v>
      </c>
      <c r="N96" t="s">
        <v>33</v>
      </c>
      <c r="O96" t="s">
        <v>28</v>
      </c>
      <c r="P96">
        <v>0</v>
      </c>
      <c r="Q96">
        <v>0</v>
      </c>
      <c r="R96">
        <v>9</v>
      </c>
      <c r="S96">
        <v>0</v>
      </c>
      <c r="T96" t="s">
        <v>49</v>
      </c>
      <c r="U96" t="s">
        <v>47</v>
      </c>
      <c r="V96">
        <v>73</v>
      </c>
      <c r="W96" t="s">
        <v>45</v>
      </c>
      <c r="X96">
        <v>0</v>
      </c>
      <c r="Y96" t="str">
        <f t="shared" si="16"/>
        <v>30-50</v>
      </c>
      <c r="Z96" t="str">
        <f t="shared" si="17"/>
        <v>High</v>
      </c>
      <c r="AA96" t="str">
        <f t="shared" si="18"/>
        <v>Yes</v>
      </c>
      <c r="AB96" t="str">
        <f t="shared" si="19"/>
        <v>No</v>
      </c>
      <c r="AC96" t="str">
        <f t="shared" si="20"/>
        <v>No</v>
      </c>
      <c r="AD96" t="str">
        <f t="shared" si="21"/>
        <v>No Alcohol</v>
      </c>
      <c r="AE96" t="str">
        <f t="shared" si="22"/>
        <v>No Stroke</v>
      </c>
      <c r="AF96" t="str">
        <f t="shared" si="23"/>
        <v>95 - R Williams</v>
      </c>
    </row>
    <row r="97" spans="1:32" x14ac:dyDescent="0.25">
      <c r="A97">
        <v>96</v>
      </c>
      <c r="B97" s="1">
        <v>45484</v>
      </c>
      <c r="C97">
        <v>65</v>
      </c>
      <c r="D97" t="s">
        <v>38</v>
      </c>
      <c r="E97" t="s">
        <v>151</v>
      </c>
      <c r="F97">
        <v>0</v>
      </c>
      <c r="G97">
        <v>0</v>
      </c>
      <c r="H97">
        <v>0</v>
      </c>
      <c r="I97" t="s">
        <v>24</v>
      </c>
      <c r="J97" t="s">
        <v>39</v>
      </c>
      <c r="K97">
        <v>172.53</v>
      </c>
      <c r="L97">
        <v>28.1</v>
      </c>
      <c r="M97" t="s">
        <v>50</v>
      </c>
      <c r="N97" t="s">
        <v>27</v>
      </c>
      <c r="O97" t="s">
        <v>34</v>
      </c>
      <c r="P97">
        <v>0</v>
      </c>
      <c r="Q97">
        <v>0</v>
      </c>
      <c r="R97">
        <v>12</v>
      </c>
      <c r="S97">
        <v>0</v>
      </c>
      <c r="T97" t="s">
        <v>49</v>
      </c>
      <c r="U97" t="s">
        <v>47</v>
      </c>
      <c r="V97">
        <v>73</v>
      </c>
      <c r="W97" t="s">
        <v>37</v>
      </c>
      <c r="X97">
        <v>0</v>
      </c>
      <c r="Y97" t="str">
        <f t="shared" si="16"/>
        <v>50+</v>
      </c>
      <c r="Z97" t="str">
        <f t="shared" si="17"/>
        <v>High</v>
      </c>
      <c r="AA97" t="str">
        <f t="shared" si="18"/>
        <v>Yes</v>
      </c>
      <c r="AB97" t="str">
        <f t="shared" si="19"/>
        <v>No</v>
      </c>
      <c r="AC97" t="str">
        <f t="shared" si="20"/>
        <v>No</v>
      </c>
      <c r="AD97" t="str">
        <f t="shared" si="21"/>
        <v>No Alcohol</v>
      </c>
      <c r="AE97" t="str">
        <f t="shared" si="22"/>
        <v>No Stroke</v>
      </c>
      <c r="AF97" t="str">
        <f t="shared" si="23"/>
        <v>96 - J Barnett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CEB6-9BDA-4584-A66A-95F28BDF8083}">
  <sheetPr>
    <tabColor rgb="FF6B7280"/>
  </sheetPr>
  <dimension ref="A1:N53"/>
  <sheetViews>
    <sheetView showGridLines="0" topLeftCell="A12" workbookViewId="0">
      <selection activeCell="M39" sqref="K37:M39"/>
    </sheetView>
  </sheetViews>
  <sheetFormatPr defaultRowHeight="15" x14ac:dyDescent="0.25"/>
  <cols>
    <col min="1" max="1" width="24.140625" bestFit="1" customWidth="1"/>
    <col min="2" max="2" width="12.85546875" bestFit="1" customWidth="1"/>
    <col min="3" max="3" width="12.42578125" bestFit="1" customWidth="1"/>
    <col min="4" max="4" width="16.5703125" bestFit="1" customWidth="1"/>
    <col min="5" max="5" width="13.7109375" bestFit="1" customWidth="1"/>
    <col min="6" max="6" width="12.140625" bestFit="1" customWidth="1"/>
    <col min="7" max="7" width="14.28515625" bestFit="1" customWidth="1"/>
    <col min="8" max="8" width="15.28515625" bestFit="1" customWidth="1"/>
    <col min="9" max="9" width="13.7109375" bestFit="1" customWidth="1"/>
    <col min="10" max="10" width="12.140625" bestFit="1" customWidth="1"/>
    <col min="11" max="11" width="15" bestFit="1" customWidth="1"/>
    <col min="12" max="12" width="17.5703125" bestFit="1" customWidth="1"/>
    <col min="13" max="14" width="13.7109375" bestFit="1" customWidth="1"/>
  </cols>
  <sheetData>
    <row r="1" spans="1:14" x14ac:dyDescent="0.25">
      <c r="A1" s="3" t="s">
        <v>216</v>
      </c>
      <c r="B1" s="3" t="s">
        <v>217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25">
      <c r="A2" s="6" t="s">
        <v>172</v>
      </c>
      <c r="B2" s="6" cm="1">
        <f t="array" ref="B2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)*(1))</f>
        <v>39</v>
      </c>
    </row>
    <row r="3" spans="1:14" x14ac:dyDescent="0.25">
      <c r="A3" s="6" t="s">
        <v>173</v>
      </c>
      <c r="B3" s="7" cm="1">
        <f t="array" ref="B3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)*(1)*Medical_History[Stroke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)*(1)),0)</f>
        <v>55.256410256410255</v>
      </c>
    </row>
    <row r="4" spans="1:14" x14ac:dyDescent="0.25">
      <c r="A4" s="6" t="s">
        <v>198</v>
      </c>
      <c r="B4" s="8" cm="1">
        <f t="array" ref="B4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)*--(Medical_History[Stroke Risk Score]&gt;=70))/B2,0)</f>
        <v>0.41025641025641024</v>
      </c>
    </row>
    <row r="5" spans="1:14" x14ac:dyDescent="0.25">
      <c r="A5" s="6" t="s">
        <v>174</v>
      </c>
      <c r="B5" s="6" cm="1">
        <f t="array" ref="B5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)*(1)*Medical_History[Stroke Occurrence])</f>
        <v>1</v>
      </c>
    </row>
    <row r="6" spans="1:14" x14ac:dyDescent="0.25">
      <c r="A6" s="6" t="s">
        <v>199</v>
      </c>
      <c r="B6" s="6" t="str">
        <f>INDEX(D11:D13,MATCH(MAX(E11:E13),E11:E13,0))</f>
        <v>&lt;30</v>
      </c>
    </row>
    <row r="7" spans="1:14" x14ac:dyDescent="0.25">
      <c r="A7" s="6" t="s">
        <v>200</v>
      </c>
      <c r="B7" s="6" t="str">
        <f>INDEX(K31:K34,MATCH(MAX(L31:L34),L31:L34,0))</f>
        <v>South</v>
      </c>
    </row>
    <row r="8" spans="1:14" x14ac:dyDescent="0.25">
      <c r="B8" s="5"/>
    </row>
    <row r="10" spans="1:14" x14ac:dyDescent="0.25">
      <c r="D10" s="6" t="s">
        <v>156</v>
      </c>
      <c r="E10" s="6" t="s">
        <v>153</v>
      </c>
      <c r="F10" s="6" t="s">
        <v>152</v>
      </c>
      <c r="H10" s="6" t="s">
        <v>3</v>
      </c>
      <c r="I10" s="6" t="s">
        <v>153</v>
      </c>
      <c r="J10" s="6" t="s">
        <v>152</v>
      </c>
    </row>
    <row r="11" spans="1:14" x14ac:dyDescent="0.25">
      <c r="D11" s="6" t="s">
        <v>171</v>
      </c>
      <c r="E11" s="7" cm="1">
        <f t="array" ref="E11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)*(--(Medical_History[Age Group]=D11))*Medical_History[Stroke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)*(--(Medical_History[Age Group]=D11))),0)</f>
        <v>70.75</v>
      </c>
      <c r="F11" s="6" cm="1">
        <f t="array" ref="F11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)*(--(Medical_History[Age Group]=D11))*Medical_History[Stroke Occurrence])</f>
        <v>0</v>
      </c>
      <c r="H11" s="6" t="s">
        <v>23</v>
      </c>
      <c r="I11" s="7" cm="1">
        <f t="array" ref="I11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)*(--(Medical_History[Gender]=H11))*Medical_History[Stroke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)*(--(Medical_History[Gender]=H11))),0)</f>
        <v>55.256410256410255</v>
      </c>
      <c r="J11" s="6" cm="1">
        <f t="array" ref="J11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)*(--(Medical_History[Gender]=H11))*Medical_History[Stroke Occurrence])</f>
        <v>1</v>
      </c>
    </row>
    <row r="12" spans="1:14" x14ac:dyDescent="0.25">
      <c r="D12" s="6" t="s">
        <v>170</v>
      </c>
      <c r="E12" s="7" cm="1">
        <f t="array" ref="E12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)*(--(Medical_History[Age Group]=D12))*Medical_History[Stroke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)*(--(Medical_History[Age Group]=D12))),0)</f>
        <v>55.53846153846154</v>
      </c>
      <c r="F12" s="6" cm="1">
        <f t="array" ref="F12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)*(--(Medical_History[Age Group]=D12))*Medical_History[Stroke Occurrence])</f>
        <v>0</v>
      </c>
      <c r="H12" s="6" t="s">
        <v>38</v>
      </c>
      <c r="I12" s="7" cm="1">
        <f t="array" ref="I12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)*(--(Medical_History[Gender]=H12))*Medical_History[Stroke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)*(--(Medical_History[Gender]=H12))),0)</f>
        <v>0</v>
      </c>
      <c r="J12" s="6" cm="1">
        <f t="array" ref="J12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)*(--(Medical_History[Gender]=H12))*Medical_History[Stroke Occurrence])</f>
        <v>0</v>
      </c>
    </row>
    <row r="13" spans="1:14" x14ac:dyDescent="0.25">
      <c r="D13" s="6" t="s">
        <v>164</v>
      </c>
      <c r="E13" s="7" cm="1">
        <f t="array" ref="E13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)*(--(Medical_History[Age Group]=D13))*Medical_History[Stroke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)*(--(Medical_History[Age Group]=D13))),0)</f>
        <v>52.272727272727273</v>
      </c>
      <c r="F13" s="6" cm="1">
        <f t="array" ref="F13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)*(--(Medical_History[Age Group]=D13))*Medical_History[Stroke Occurrence])</f>
        <v>1</v>
      </c>
      <c r="I13" s="4"/>
    </row>
    <row r="14" spans="1:14" x14ac:dyDescent="0.25">
      <c r="E14" s="4"/>
      <c r="I14" s="4"/>
    </row>
    <row r="15" spans="1:14" x14ac:dyDescent="0.25">
      <c r="E15" s="4"/>
      <c r="I15" s="4"/>
    </row>
    <row r="16" spans="1:14" x14ac:dyDescent="0.25">
      <c r="D16" s="6" t="s">
        <v>11</v>
      </c>
      <c r="E16" s="7" t="s">
        <v>153</v>
      </c>
      <c r="F16" s="6" t="s">
        <v>218</v>
      </c>
      <c r="H16" s="6" t="s">
        <v>176</v>
      </c>
      <c r="I16" s="7" t="s">
        <v>153</v>
      </c>
      <c r="J16" s="6" t="s">
        <v>218</v>
      </c>
      <c r="L16" s="6" t="s">
        <v>177</v>
      </c>
      <c r="M16" s="6" t="s">
        <v>152</v>
      </c>
      <c r="N16" s="6" t="s">
        <v>153</v>
      </c>
    </row>
    <row r="17" spans="1:14" x14ac:dyDescent="0.25">
      <c r="D17" s="6" t="s">
        <v>32</v>
      </c>
      <c r="E17" s="7" cm="1">
        <f t="array" ref="E17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)*(--(Medical_History[Smoking Status]=D17))*Medical_History[Stroke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)*(--(Medical_History[Smoking Status]=D17))),0)</f>
        <v>55.5</v>
      </c>
      <c r="F17" s="6" cm="1">
        <f t="array" ref="F17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)*(--(Medical_History[Smoking Status]=D17)))</f>
        <v>24</v>
      </c>
      <c r="H17" s="6" t="s">
        <v>34</v>
      </c>
      <c r="I17" s="7" cm="1">
        <f t="array" ref="I17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)*(--(Medical_History[Dietary Habits]=H17))*Medical_History[Stroke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)*(--(Medical_History[Dietary Habits]=H17))),0)</f>
        <v>54.071428571428569</v>
      </c>
      <c r="J17" s="6" cm="1">
        <f t="array" ref="J17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)*(--(Medical_History[Dietary Habits]=H17)))</f>
        <v>14</v>
      </c>
      <c r="L17" s="6" t="s">
        <v>169</v>
      </c>
      <c r="M17" s="6" cm="1">
        <f t="array" ref="M17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)*(--(Medical_History[Alcohol Label]=L17))*Medical_History[Stroke Occurrence])</f>
        <v>0</v>
      </c>
      <c r="N17" s="7" cm="1">
        <f t="array" ref="N17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)*(--(Medical_History[Alcohol Label]=L17))*Medical_History[Stroke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)*(--(Medical_History[Alcohol Label]=L17))),0)</f>
        <v>60.666666666666664</v>
      </c>
    </row>
    <row r="18" spans="1:14" x14ac:dyDescent="0.25">
      <c r="D18" s="6" t="s">
        <v>26</v>
      </c>
      <c r="E18" s="7" cm="1">
        <f t="array" ref="E18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)*(--(Medical_History[Smoking Status]=D18))*Medical_History[Stroke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)*(--(Medical_History[Smoking Status]=D18))),0)</f>
        <v>64.125</v>
      </c>
      <c r="F18" s="6" cm="1">
        <f t="array" ref="F18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)*(--(Medical_History[Smoking Status]=D18)))</f>
        <v>8</v>
      </c>
      <c r="H18" s="6" t="s">
        <v>28</v>
      </c>
      <c r="I18" s="7" cm="1">
        <f t="array" ref="I18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)*(--(Medical_History[Dietary Habits]=H18))*Medical_History[Stroke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)*(--(Medical_History[Dietary Habits]=H18))),0)</f>
        <v>59.470588235294116</v>
      </c>
      <c r="J18" s="6" cm="1">
        <f t="array" ref="J18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)*(--(Medical_History[Dietary Habits]=H18)))</f>
        <v>17</v>
      </c>
      <c r="L18" s="6" t="s">
        <v>167</v>
      </c>
      <c r="M18" s="6" cm="1">
        <f t="array" ref="M18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)*(--(Medical_History[Alcohol Label]=L18))*Medical_History[Stroke Occurrence])</f>
        <v>1</v>
      </c>
      <c r="N18" s="7" cm="1">
        <f t="array" ref="N18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)*(--(Medical_History[Alcohol Label]=L18))*Medical_History[Stroke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)*(--(Medical_History[Alcohol Label]=L18))),0)</f>
        <v>54.805555555555557</v>
      </c>
    </row>
    <row r="19" spans="1:14" x14ac:dyDescent="0.25">
      <c r="D19" s="6" t="s">
        <v>54</v>
      </c>
      <c r="E19" s="7" cm="1">
        <f t="array" ref="E19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)*(--(Medical_History[Smoking Status]=D19))*Medical_History[Stroke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)*(--(Medical_History[Smoking Status]=D19))),0)</f>
        <v>35.666666666666664</v>
      </c>
      <c r="F19" s="6" cm="1">
        <f t="array" ref="F19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)*(--(Medical_History[Smoking Status]=D19)))</f>
        <v>6</v>
      </c>
    </row>
    <row r="22" spans="1:14" x14ac:dyDescent="0.25">
      <c r="A22" s="6" t="s">
        <v>219</v>
      </c>
      <c r="B22" s="6" t="s">
        <v>220</v>
      </c>
      <c r="C22" s="6" t="s">
        <v>221</v>
      </c>
    </row>
    <row r="23" spans="1:14" x14ac:dyDescent="0.25">
      <c r="A23" s="6" t="s">
        <v>4</v>
      </c>
      <c r="B23" s="7" cm="1">
        <f t="array" ref="B23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)*(--(Medical_History[Hypertension Label]="Yes"))*Medical_History[Stroke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)*(--(Medical_History[Hypertension Label]="Yes"))),0)</f>
        <v>40.799999999999997</v>
      </c>
      <c r="C23" s="7" cm="1">
        <f t="array" ref="C23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)*(--(Medical_History[Hypertension Label]="No"))*Medical_History[Stroke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)*(--(Medical_History[Hypertension Label]="No"))),0)</f>
        <v>57.382352941176471</v>
      </c>
    </row>
    <row r="24" spans="1:14" x14ac:dyDescent="0.25">
      <c r="A24" s="6" t="s">
        <v>5</v>
      </c>
      <c r="B24" s="7" cm="1">
        <f t="array" ref="B24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)*(--(Medical_History[Heart Disease Label]="Yes"))*Medical_History[Stroke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)*(--(Medical_History[Heart Disease Label]="Yes"))),0)</f>
        <v>44</v>
      </c>
      <c r="C24" s="7" cm="1">
        <f t="array" ref="C24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)*(--(Medical_History[Heart Disease Label]="No"))*Medical_History[Stroke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)*(--(Medical_History[Heart Disease Label]="No"))),0)</f>
        <v>55.864864864864863</v>
      </c>
    </row>
    <row r="27" spans="1:14" x14ac:dyDescent="0.25">
      <c r="A27" s="6" t="s">
        <v>222</v>
      </c>
      <c r="B27" s="6" t="s">
        <v>223</v>
      </c>
      <c r="C27" s="6" t="s">
        <v>152</v>
      </c>
      <c r="D27" s="6" t="s">
        <v>224</v>
      </c>
    </row>
    <row r="28" spans="1:14" x14ac:dyDescent="0.25">
      <c r="A28" s="6" t="s">
        <v>4</v>
      </c>
      <c r="B28" s="6" t="s">
        <v>165</v>
      </c>
      <c r="C28" s="6" cm="1">
        <f t="array" ref="C28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)*(--(Medical_History[Hypertension Label]=B28))*Medical_History[Stroke Occurrence])</f>
        <v>0</v>
      </c>
      <c r="D28" s="7" cm="1">
        <f t="array" ref="D28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)*(--(Medical_History[Hypertension Label]=B28))*Medical_History[Stroke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)*(--(Medical_History[Hypertension Label]=B28))),0)</f>
        <v>40.799999999999997</v>
      </c>
    </row>
    <row r="29" spans="1:14" x14ac:dyDescent="0.25">
      <c r="A29" s="6" t="s">
        <v>4</v>
      </c>
      <c r="B29" s="6" t="s">
        <v>166</v>
      </c>
      <c r="C29" s="6" cm="1">
        <f t="array" ref="C29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)*(--(Medical_History[Hypertension Label]=B29))*Medical_History[Stroke Occurrence])</f>
        <v>1</v>
      </c>
      <c r="D29" s="7" cm="1">
        <f t="array" ref="D29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)*(--(Medical_History[Hypertension Label]=B29))*Medical_History[Stroke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)*(--(Medical_History[Hypertension Label]=B29))),0)</f>
        <v>57.382352941176471</v>
      </c>
    </row>
    <row r="30" spans="1:14" x14ac:dyDescent="0.25">
      <c r="A30" s="6" t="s">
        <v>5</v>
      </c>
      <c r="B30" s="6" t="s">
        <v>165</v>
      </c>
      <c r="C30" s="6" cm="1">
        <f t="array" ref="C30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)*(--(Medical_History[Heart Disease Label]=B30))*Medical_History[Stroke Occurrence])</f>
        <v>0</v>
      </c>
      <c r="D30" s="7" cm="1">
        <f t="array" ref="D30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)*(--(Medical_History[Heart Disease Label]=B30))*Medical_History[Stroke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)*(--(Medical_History[Heart Disease Label]=B30))),0)</f>
        <v>44</v>
      </c>
      <c r="K30" s="6" t="s">
        <v>21</v>
      </c>
      <c r="L30" s="6" t="s">
        <v>152</v>
      </c>
      <c r="M30" s="6" t="s">
        <v>153</v>
      </c>
    </row>
    <row r="31" spans="1:14" x14ac:dyDescent="0.25">
      <c r="A31" s="6" t="s">
        <v>5</v>
      </c>
      <c r="B31" s="6" t="s">
        <v>166</v>
      </c>
      <c r="C31" s="6" cm="1">
        <f t="array" ref="C31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)*(--(Medical_History[Heart Disease Label]=B31))*Medical_History[Stroke Occurrence])</f>
        <v>1</v>
      </c>
      <c r="D31" s="7" cm="1">
        <f t="array" ref="D31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)*(--(Medical_History[Heart Disease Label]=B31))*Medical_History[Stroke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)*(--(Medical_History[Heart Disease Label]=B31))),0)</f>
        <v>55.864864864864863</v>
      </c>
      <c r="K31" s="6" t="s">
        <v>41</v>
      </c>
      <c r="L31" s="6" cm="1">
        <f t="array" ref="L31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)*(--(Medical_History[Region]=K31))*Medical_History[Stroke Occurrence])</f>
        <v>0</v>
      </c>
      <c r="M31" s="7" cm="1">
        <f t="array" ref="M31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)*(--(Medical_History[Region]=K31))*Medical_History[Stroke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)*(--(Medical_History[Region]=K31))),0)</f>
        <v>49.125</v>
      </c>
    </row>
    <row r="32" spans="1:14" x14ac:dyDescent="0.25">
      <c r="K32" s="6" t="s">
        <v>31</v>
      </c>
      <c r="L32" s="6" cm="1">
        <f t="array" ref="L32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)*(--(Medical_History[Region]=K32))*Medical_History[Stroke Occurrence])</f>
        <v>1</v>
      </c>
      <c r="M32" s="7" cm="1">
        <f t="array" ref="M32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)*(--(Medical_History[Region]=K32))*Medical_History[Stroke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)*(--(Medical_History[Region]=K32))),0)</f>
        <v>65.454545454545453</v>
      </c>
    </row>
    <row r="33" spans="11:13" x14ac:dyDescent="0.25">
      <c r="K33" s="6" t="s">
        <v>37</v>
      </c>
      <c r="L33" s="6" cm="1">
        <f t="array" ref="L33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)*(--(Medical_History[Region]=K33))*Medical_History[Stroke Occurrence])</f>
        <v>0</v>
      </c>
      <c r="M33" s="7" cm="1">
        <f t="array" ref="M33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)*(--(Medical_History[Region]=K33))*Medical_History[Stroke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)*(--(Medical_History[Region]=K33))),0)</f>
        <v>56.636363636363633</v>
      </c>
    </row>
    <row r="34" spans="11:13" x14ac:dyDescent="0.25">
      <c r="K34" s="6" t="s">
        <v>45</v>
      </c>
      <c r="L34" s="6" cm="1">
        <f t="array" ref="L34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)*(--(Medical_History[Region]=K34))*Medical_History[Stroke Occurrence])</f>
        <v>0</v>
      </c>
      <c r="M34" s="7" cm="1">
        <f t="array" ref="M34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)*(--(Medical_History[Region]=K34))*Medical_History[Stroke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)*(--(Medical_History[Region]=K34))),0)</f>
        <v>46.555555555555557</v>
      </c>
    </row>
    <row r="35" spans="11:13" x14ac:dyDescent="0.25">
      <c r="M35" s="4"/>
    </row>
    <row r="36" spans="11:13" x14ac:dyDescent="0.25">
      <c r="M36" s="4"/>
    </row>
    <row r="37" spans="11:13" x14ac:dyDescent="0.25">
      <c r="K37" s="6" t="s">
        <v>8</v>
      </c>
      <c r="L37" s="6" t="s">
        <v>218</v>
      </c>
      <c r="M37" s="7" t="s">
        <v>153</v>
      </c>
    </row>
    <row r="38" spans="11:13" x14ac:dyDescent="0.25">
      <c r="K38" s="6" t="s">
        <v>39</v>
      </c>
      <c r="L38" s="6" cm="1">
        <f t="array" ref="L38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)*(--(Medical_History[Residence Type]=K38)))</f>
        <v>22</v>
      </c>
      <c r="M38" s="7" cm="1">
        <f t="array" ref="M38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)*(--(Medical_History[Residence Type]=K38))*Medical_History[Stroke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)*(--(Medical_History[Residence Type]=K38))),0)</f>
        <v>52.590909090909093</v>
      </c>
    </row>
    <row r="39" spans="11:13" x14ac:dyDescent="0.25">
      <c r="K39" s="6" t="s">
        <v>25</v>
      </c>
      <c r="L39" s="6" cm="1">
        <f t="array" ref="L39">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)*(--(Medical_History[Residence Type]=K39)))</f>
        <v>17</v>
      </c>
      <c r="M39" s="7" cm="1">
        <f t="array" ref="M39">IFERROR(SUMPRODUCT((--(Medical_History[ID]&lt;&gt;"")*IF(Dashboard!$F$12="All",1,--(Medical_History[Gender]=Dashboard!$F$12))*IF(Dashboard!$H$12="All",1,--(Medical_History[Age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)*(--(Medical_History[Residence Type]=K39))*Medical_History[Stroke Risk Score])/SUMPRODUCT((--(Medical_History[ID]&lt;&gt;"")*IF(Dashboard!$F$12="All",1,--(Medical_History[Gender]=Dashboard!$F$12))*IF(Dashboard!$H$12="All",1,--(Medical_History[Age Group]=Dashboard!$H$12))*IF(Dashboard!$J$12="All",1,--(Medical_History[Region]=Dashboard!$J$12))*IF(Dashboard!$L$12="All",1,--(Medical_History[Smoking Status]=Dashboard!$L$12))*IF(Dashboard!$N$12="All",1,--(Medical_History[Dietary Habits]=Dashboard!$N$12))*IF(Dashboard!$P$12="All",1,--(Medical_History[Alcohol Label]=Dashboard!$P$12))*IF(Dashboard!$F$14="All",1,--(Medical_History[Hypertension Label]=Dashboard!$F$14))*IF(Dashboard!$H$14="All",1,--(Medical_History[Heart Disease Label]=Dashboard!$H$14))*IF(Dashboard!$J$14="All",1,--(Medical_History[Residence Type]=Dashboard!$J$14))*IF(Dashboard!$L$14="All",1,--(Medical_History[Risk Level]=Dashboard!$L$14))*IF(Dashboard!$N$14="All",1,--(Medical_History[Stroke Label]=Dashboard!$N$14)) )*(--(Medical_History[Residence Type]=K39))),0)</f>
        <v>58.705882352941174</v>
      </c>
    </row>
    <row r="52" spans="2:2" x14ac:dyDescent="0.25">
      <c r="B52" s="4"/>
    </row>
    <row r="53" spans="2:2" x14ac:dyDescent="0.25">
      <c r="B53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B4D23-7FDF-47A7-B446-4DACAD1525C0}">
  <sheetPr>
    <tabColor rgb="FF063B75"/>
  </sheetPr>
  <dimension ref="E8:T110"/>
  <sheetViews>
    <sheetView showGridLines="0" tabSelected="1" topLeftCell="A50" zoomScale="66" workbookViewId="0">
      <selection activeCell="U67" sqref="U67"/>
    </sheetView>
  </sheetViews>
  <sheetFormatPr defaultRowHeight="15" x14ac:dyDescent="0.25"/>
  <cols>
    <col min="5" max="5" width="24.28515625" customWidth="1"/>
    <col min="6" max="6" width="14.28515625" customWidth="1"/>
    <col min="7" max="7" width="13.7109375" customWidth="1"/>
    <col min="8" max="8" width="12.140625" customWidth="1"/>
    <col min="9" max="9" width="22.5703125" customWidth="1"/>
    <col min="10" max="10" width="12.140625" customWidth="1"/>
    <col min="11" max="11" width="13.7109375" customWidth="1"/>
    <col min="12" max="12" width="12.140625" customWidth="1"/>
    <col min="13" max="13" width="20.140625" customWidth="1"/>
    <col min="14" max="14" width="12.140625" customWidth="1"/>
    <col min="15" max="15" width="13.7109375" customWidth="1"/>
    <col min="16" max="16" width="12.140625" customWidth="1"/>
    <col min="17" max="20" width="10.28515625" customWidth="1"/>
  </cols>
  <sheetData>
    <row r="8" spans="5:20" ht="30" customHeight="1" thickBot="1" x14ac:dyDescent="0.3">
      <c r="E8" s="17" t="s">
        <v>195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</row>
    <row r="9" spans="5:20" ht="15" customHeight="1" thickTop="1" x14ac:dyDescent="0.25">
      <c r="E9" s="16" t="s">
        <v>196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pans="5:20" ht="15" customHeight="1" x14ac:dyDescent="0.25"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5:20" ht="18" customHeight="1" x14ac:dyDescent="0.25">
      <c r="E11" s="23" t="s">
        <v>197</v>
      </c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0"/>
      <c r="R11" s="20"/>
      <c r="S11" s="20"/>
      <c r="T11" s="20"/>
    </row>
    <row r="12" spans="5:20" ht="20.100000000000001" customHeight="1" x14ac:dyDescent="0.25">
      <c r="E12" s="58" t="s">
        <v>3</v>
      </c>
      <c r="F12" s="25" t="s">
        <v>23</v>
      </c>
      <c r="G12" s="58" t="s">
        <v>156</v>
      </c>
      <c r="H12" s="25" t="s">
        <v>178</v>
      </c>
      <c r="I12" s="58" t="s">
        <v>21</v>
      </c>
      <c r="J12" s="25" t="s">
        <v>178</v>
      </c>
      <c r="K12" s="58" t="s">
        <v>11</v>
      </c>
      <c r="L12" s="25" t="s">
        <v>178</v>
      </c>
      <c r="M12" s="58" t="s">
        <v>176</v>
      </c>
      <c r="N12" s="25" t="s">
        <v>178</v>
      </c>
      <c r="O12" s="58" t="s">
        <v>177</v>
      </c>
      <c r="P12" s="25" t="s">
        <v>178</v>
      </c>
      <c r="Q12" s="22"/>
      <c r="R12" s="18"/>
      <c r="S12" s="18"/>
      <c r="T12" s="18"/>
    </row>
    <row r="13" spans="5:20" ht="3.95" customHeight="1" x14ac:dyDescent="0.25">
      <c r="E13" s="58"/>
      <c r="F13" s="25"/>
      <c r="G13" s="58"/>
      <c r="H13" s="25"/>
      <c r="I13" s="58"/>
      <c r="J13" s="25"/>
      <c r="K13" s="58"/>
      <c r="L13" s="25"/>
      <c r="M13" s="58"/>
      <c r="N13" s="25"/>
      <c r="O13" s="58"/>
      <c r="P13" s="25"/>
      <c r="Q13" s="14"/>
      <c r="R13" s="13"/>
      <c r="S13" s="13"/>
      <c r="T13" s="13"/>
    </row>
    <row r="14" spans="5:20" ht="20.100000000000001" customHeight="1" x14ac:dyDescent="0.25">
      <c r="E14" s="58" t="s">
        <v>4</v>
      </c>
      <c r="F14" s="25" t="s">
        <v>178</v>
      </c>
      <c r="G14" s="58" t="s">
        <v>5</v>
      </c>
      <c r="H14" s="25" t="s">
        <v>178</v>
      </c>
      <c r="I14" s="58" t="s">
        <v>8</v>
      </c>
      <c r="J14" s="25" t="s">
        <v>178</v>
      </c>
      <c r="K14" s="58" t="s">
        <v>157</v>
      </c>
      <c r="L14" s="25" t="s">
        <v>178</v>
      </c>
      <c r="M14" s="58" t="s">
        <v>22</v>
      </c>
      <c r="N14" s="25" t="s">
        <v>178</v>
      </c>
      <c r="O14" s="58"/>
      <c r="P14" s="25"/>
      <c r="Q14" s="14"/>
      <c r="R14" s="13"/>
      <c r="S14" s="13"/>
      <c r="T14" s="13"/>
    </row>
    <row r="15" spans="5:20" ht="9.9499999999999993" customHeight="1" x14ac:dyDescent="0.25">
      <c r="E15" s="24"/>
      <c r="F15" s="19"/>
      <c r="G15" s="22"/>
      <c r="H15" s="18"/>
      <c r="I15" s="18"/>
      <c r="J15" s="18"/>
      <c r="K15" s="18"/>
      <c r="L15" s="18"/>
      <c r="M15" s="18"/>
      <c r="N15" s="18"/>
      <c r="O15" s="18"/>
      <c r="P15" s="18"/>
      <c r="Q15" s="13"/>
      <c r="R15" s="13"/>
      <c r="S15" s="13"/>
      <c r="T15" s="13"/>
    </row>
    <row r="16" spans="5:20" x14ac:dyDescent="0.25"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</row>
    <row r="17" spans="5:20" ht="21" customHeight="1" x14ac:dyDescent="0.25">
      <c r="E17" s="62" t="s">
        <v>172</v>
      </c>
      <c r="F17" s="63"/>
      <c r="G17" s="62" t="s">
        <v>173</v>
      </c>
      <c r="H17" s="63"/>
      <c r="I17" s="62" t="s">
        <v>198</v>
      </c>
      <c r="J17" s="63"/>
      <c r="K17" s="62" t="s">
        <v>174</v>
      </c>
      <c r="L17" s="63"/>
      <c r="M17" s="62" t="s">
        <v>199</v>
      </c>
      <c r="N17" s="63"/>
      <c r="O17" s="62" t="s">
        <v>200</v>
      </c>
      <c r="P17" s="64"/>
      <c r="Q17" s="12"/>
      <c r="R17" s="12"/>
      <c r="S17" s="12"/>
      <c r="T17" s="12"/>
    </row>
    <row r="18" spans="5:20" ht="24" customHeight="1" x14ac:dyDescent="0.25">
      <c r="E18" s="65">
        <v>96</v>
      </c>
      <c r="F18" s="66"/>
      <c r="G18" s="67">
        <v>55.4</v>
      </c>
      <c r="H18" s="68"/>
      <c r="I18" s="69">
        <v>0.38500000000000001</v>
      </c>
      <c r="J18" s="70"/>
      <c r="K18" s="65">
        <v>7</v>
      </c>
      <c r="L18" s="66"/>
      <c r="M18" s="65" t="s">
        <v>171</v>
      </c>
      <c r="N18" s="66"/>
      <c r="O18" s="65" t="s">
        <v>41</v>
      </c>
      <c r="P18" s="71"/>
      <c r="Q18" s="12"/>
      <c r="R18" s="12"/>
      <c r="S18" s="12"/>
      <c r="T18" s="12"/>
    </row>
    <row r="19" spans="5:20" ht="20.100000000000001" customHeight="1" x14ac:dyDescent="0.25">
      <c r="E19" s="75" t="s">
        <v>201</v>
      </c>
      <c r="F19" s="76"/>
      <c r="G19" s="72"/>
      <c r="H19" s="73"/>
      <c r="I19" s="72"/>
      <c r="J19" s="73"/>
      <c r="K19" s="72"/>
      <c r="L19" s="73"/>
      <c r="M19" s="72"/>
      <c r="N19" s="73"/>
      <c r="O19" s="72"/>
      <c r="P19" s="74"/>
      <c r="Q19" s="15"/>
      <c r="R19" s="15"/>
      <c r="S19" s="15"/>
      <c r="T19" s="15"/>
    </row>
    <row r="20" spans="5:20" ht="9.9499999999999993" customHeight="1" x14ac:dyDescent="0.25"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</row>
    <row r="21" spans="5:20" ht="18" customHeight="1" x14ac:dyDescent="0.25">
      <c r="E21" s="27" t="s">
        <v>202</v>
      </c>
      <c r="F21" s="27"/>
      <c r="G21" s="27"/>
      <c r="H21" s="27"/>
      <c r="I21" s="27"/>
      <c r="J21" s="27"/>
      <c r="K21" s="21"/>
      <c r="L21" s="27" t="s">
        <v>203</v>
      </c>
      <c r="M21" s="27"/>
      <c r="N21" s="27"/>
      <c r="O21" s="27"/>
      <c r="P21" s="27"/>
      <c r="Q21" s="27"/>
      <c r="R21" s="27"/>
      <c r="S21" s="27"/>
      <c r="T21" s="27"/>
    </row>
    <row r="22" spans="5:20" x14ac:dyDescent="0.25">
      <c r="E22" s="31"/>
      <c r="F22" s="29"/>
      <c r="G22" s="29"/>
      <c r="H22" s="29"/>
      <c r="I22" s="29"/>
      <c r="J22" s="29"/>
      <c r="K22" s="29"/>
      <c r="L22" s="31"/>
      <c r="M22" s="29"/>
      <c r="N22" s="29"/>
      <c r="O22" s="29"/>
      <c r="P22" s="29"/>
      <c r="Q22" s="29"/>
      <c r="R22" s="29"/>
      <c r="S22" s="29"/>
      <c r="T22" s="34"/>
    </row>
    <row r="23" spans="5:20" x14ac:dyDescent="0.25">
      <c r="E23" s="32"/>
      <c r="F23" s="26"/>
      <c r="G23" s="26"/>
      <c r="H23" s="26"/>
      <c r="I23" s="26"/>
      <c r="J23" s="26"/>
      <c r="K23" s="26"/>
      <c r="L23" s="32"/>
      <c r="M23" s="26"/>
      <c r="N23" s="26"/>
      <c r="O23" s="26"/>
      <c r="P23" s="26"/>
      <c r="Q23" s="26"/>
      <c r="R23" s="26"/>
      <c r="S23" s="26"/>
      <c r="T23" s="35"/>
    </row>
    <row r="24" spans="5:20" x14ac:dyDescent="0.25">
      <c r="E24" s="32"/>
      <c r="F24" s="26"/>
      <c r="G24" s="26"/>
      <c r="H24" s="26"/>
      <c r="I24" s="26"/>
      <c r="J24" s="26"/>
      <c r="K24" s="26"/>
      <c r="L24" s="32"/>
      <c r="M24" s="26"/>
      <c r="N24" s="26"/>
      <c r="O24" s="26"/>
      <c r="P24" s="26"/>
      <c r="Q24" s="26"/>
      <c r="R24" s="26"/>
      <c r="S24" s="26"/>
      <c r="T24" s="35"/>
    </row>
    <row r="25" spans="5:20" x14ac:dyDescent="0.25">
      <c r="E25" s="32"/>
      <c r="F25" s="26"/>
      <c r="G25" s="26"/>
      <c r="H25" s="26"/>
      <c r="I25" s="26"/>
      <c r="J25" s="26"/>
      <c r="K25" s="26"/>
      <c r="L25" s="32"/>
      <c r="M25" s="26"/>
      <c r="N25" s="26"/>
      <c r="O25" s="26"/>
      <c r="P25" s="26"/>
      <c r="Q25" s="26"/>
      <c r="R25" s="26"/>
      <c r="S25" s="26"/>
      <c r="T25" s="35"/>
    </row>
    <row r="26" spans="5:20" x14ac:dyDescent="0.25">
      <c r="E26" s="32"/>
      <c r="F26" s="26"/>
      <c r="G26" s="26"/>
      <c r="H26" s="26"/>
      <c r="I26" s="26"/>
      <c r="J26" s="26"/>
      <c r="K26" s="26"/>
      <c r="L26" s="32"/>
      <c r="M26" s="26"/>
      <c r="N26" s="26"/>
      <c r="O26" s="26"/>
      <c r="P26" s="26"/>
      <c r="Q26" s="26"/>
      <c r="R26" s="26"/>
      <c r="S26" s="26"/>
      <c r="T26" s="35"/>
    </row>
    <row r="27" spans="5:20" x14ac:dyDescent="0.25">
      <c r="E27" s="32"/>
      <c r="F27" s="26"/>
      <c r="G27" s="26"/>
      <c r="H27" s="26"/>
      <c r="I27" s="26"/>
      <c r="J27" s="26"/>
      <c r="K27" s="26"/>
      <c r="L27" s="32"/>
      <c r="M27" s="26"/>
      <c r="N27" s="26"/>
      <c r="O27" s="26"/>
      <c r="P27" s="26"/>
      <c r="Q27" s="26"/>
      <c r="R27" s="26"/>
      <c r="S27" s="26"/>
      <c r="T27" s="35"/>
    </row>
    <row r="28" spans="5:20" x14ac:dyDescent="0.25">
      <c r="E28" s="32"/>
      <c r="F28" s="26"/>
      <c r="G28" s="26"/>
      <c r="H28" s="26"/>
      <c r="I28" s="26"/>
      <c r="J28" s="26"/>
      <c r="K28" s="26"/>
      <c r="L28" s="32"/>
      <c r="M28" s="26"/>
      <c r="N28" s="26"/>
      <c r="O28" s="26"/>
      <c r="P28" s="26"/>
      <c r="Q28" s="26"/>
      <c r="R28" s="26"/>
      <c r="S28" s="26"/>
      <c r="T28" s="35"/>
    </row>
    <row r="29" spans="5:20" x14ac:dyDescent="0.25">
      <c r="E29" s="32"/>
      <c r="F29" s="26"/>
      <c r="G29" s="26"/>
      <c r="H29" s="26"/>
      <c r="I29" s="26"/>
      <c r="J29" s="26"/>
      <c r="K29" s="26"/>
      <c r="L29" s="32"/>
      <c r="M29" s="26"/>
      <c r="N29" s="26"/>
      <c r="O29" s="26"/>
      <c r="P29" s="26"/>
      <c r="Q29" s="26"/>
      <c r="R29" s="26"/>
      <c r="S29" s="26"/>
      <c r="T29" s="35"/>
    </row>
    <row r="30" spans="5:20" x14ac:dyDescent="0.25">
      <c r="E30" s="32"/>
      <c r="F30" s="26"/>
      <c r="G30" s="26"/>
      <c r="H30" s="26"/>
      <c r="I30" s="26"/>
      <c r="J30" s="26"/>
      <c r="K30" s="26"/>
      <c r="L30" s="32"/>
      <c r="M30" s="26"/>
      <c r="N30" s="26"/>
      <c r="O30" s="26"/>
      <c r="P30" s="26"/>
      <c r="Q30" s="26"/>
      <c r="R30" s="26"/>
      <c r="S30" s="26"/>
      <c r="T30" s="35"/>
    </row>
    <row r="31" spans="5:20" x14ac:dyDescent="0.25">
      <c r="E31" s="32"/>
      <c r="F31" s="26"/>
      <c r="G31" s="26"/>
      <c r="H31" s="26"/>
      <c r="I31" s="26"/>
      <c r="J31" s="26"/>
      <c r="K31" s="26"/>
      <c r="L31" s="32"/>
      <c r="M31" s="26"/>
      <c r="N31" s="26"/>
      <c r="O31" s="26"/>
      <c r="P31" s="26"/>
      <c r="Q31" s="26"/>
      <c r="R31" s="26"/>
      <c r="S31" s="26"/>
      <c r="T31" s="35"/>
    </row>
    <row r="32" spans="5:20" x14ac:dyDescent="0.25">
      <c r="E32" s="32"/>
      <c r="F32" s="26"/>
      <c r="G32" s="26"/>
      <c r="H32" s="26"/>
      <c r="I32" s="26"/>
      <c r="J32" s="26"/>
      <c r="K32" s="26"/>
      <c r="L32" s="32"/>
      <c r="M32" s="26"/>
      <c r="N32" s="26"/>
      <c r="O32" s="26"/>
      <c r="P32" s="26"/>
      <c r="Q32" s="26"/>
      <c r="R32" s="26"/>
      <c r="S32" s="26"/>
      <c r="T32" s="35"/>
    </row>
    <row r="33" spans="5:20" x14ac:dyDescent="0.25">
      <c r="E33" s="32"/>
      <c r="F33" s="26"/>
      <c r="G33" s="26"/>
      <c r="H33" s="26"/>
      <c r="I33" s="26"/>
      <c r="J33" s="26"/>
      <c r="K33" s="26"/>
      <c r="L33" s="32"/>
      <c r="M33" s="26"/>
      <c r="N33" s="26"/>
      <c r="O33" s="26"/>
      <c r="P33" s="26"/>
      <c r="Q33" s="26"/>
      <c r="R33" s="26"/>
      <c r="S33" s="26"/>
      <c r="T33" s="35"/>
    </row>
    <row r="34" spans="5:20" x14ac:dyDescent="0.25">
      <c r="E34" s="32"/>
      <c r="F34" s="26"/>
      <c r="G34" s="26"/>
      <c r="H34" s="26"/>
      <c r="I34" s="26"/>
      <c r="J34" s="26"/>
      <c r="K34" s="26"/>
      <c r="L34" s="32"/>
      <c r="M34" s="26"/>
      <c r="N34" s="26"/>
      <c r="O34" s="26"/>
      <c r="P34" s="26"/>
      <c r="Q34" s="26"/>
      <c r="R34" s="26"/>
      <c r="S34" s="26"/>
      <c r="T34" s="35"/>
    </row>
    <row r="35" spans="5:20" x14ac:dyDescent="0.25">
      <c r="E35" s="32"/>
      <c r="F35" s="26"/>
      <c r="G35" s="26"/>
      <c r="H35" s="26"/>
      <c r="I35" s="26"/>
      <c r="J35" s="26"/>
      <c r="K35" s="26"/>
      <c r="L35" s="32"/>
      <c r="M35" s="26"/>
      <c r="N35" s="26"/>
      <c r="O35" s="26"/>
      <c r="P35" s="26"/>
      <c r="Q35" s="26"/>
      <c r="R35" s="26"/>
      <c r="S35" s="26"/>
      <c r="T35" s="35"/>
    </row>
    <row r="36" spans="5:20" x14ac:dyDescent="0.25">
      <c r="E36" s="32"/>
      <c r="F36" s="26"/>
      <c r="G36" s="26"/>
      <c r="H36" s="26"/>
      <c r="I36" s="26"/>
      <c r="J36" s="26"/>
      <c r="K36" s="26"/>
      <c r="L36" s="32"/>
      <c r="M36" s="26"/>
      <c r="N36" s="26"/>
      <c r="O36" s="26"/>
      <c r="P36" s="26"/>
      <c r="Q36" s="26"/>
      <c r="R36" s="26"/>
      <c r="S36" s="26"/>
      <c r="T36" s="35"/>
    </row>
    <row r="37" spans="5:20" x14ac:dyDescent="0.25">
      <c r="E37" s="32"/>
      <c r="F37" s="26"/>
      <c r="G37" s="26"/>
      <c r="H37" s="26"/>
      <c r="I37" s="26"/>
      <c r="J37" s="26"/>
      <c r="K37" s="26"/>
      <c r="L37" s="32"/>
      <c r="M37" s="26"/>
      <c r="N37" s="26"/>
      <c r="O37" s="26"/>
      <c r="P37" s="26"/>
      <c r="Q37" s="26"/>
      <c r="R37" s="26"/>
      <c r="S37" s="26"/>
      <c r="T37" s="35"/>
    </row>
    <row r="38" spans="5:20" x14ac:dyDescent="0.25">
      <c r="E38" s="32"/>
      <c r="F38" s="26"/>
      <c r="G38" s="26"/>
      <c r="H38" s="26"/>
      <c r="I38" s="26"/>
      <c r="J38" s="26"/>
      <c r="K38" s="26"/>
      <c r="L38" s="32"/>
      <c r="M38" s="26"/>
      <c r="N38" s="26"/>
      <c r="O38" s="26"/>
      <c r="P38" s="26"/>
      <c r="Q38" s="26"/>
      <c r="R38" s="26"/>
      <c r="S38" s="26"/>
      <c r="T38" s="35"/>
    </row>
    <row r="39" spans="5:20" x14ac:dyDescent="0.25">
      <c r="E39" s="33"/>
      <c r="F39" s="30"/>
      <c r="G39" s="30"/>
      <c r="H39" s="30"/>
      <c r="I39" s="30"/>
      <c r="J39" s="30"/>
      <c r="K39" s="30"/>
      <c r="L39" s="33"/>
      <c r="M39" s="30"/>
      <c r="N39" s="30"/>
      <c r="O39" s="30"/>
      <c r="P39" s="30"/>
      <c r="Q39" s="30"/>
      <c r="R39" s="30"/>
      <c r="S39" s="30"/>
      <c r="T39" s="36"/>
    </row>
    <row r="40" spans="5:20" ht="18" customHeight="1" x14ac:dyDescent="0.25">
      <c r="E40" s="37" t="s">
        <v>204</v>
      </c>
      <c r="F40" s="37"/>
      <c r="G40" s="37"/>
      <c r="H40" s="37"/>
      <c r="I40" s="37"/>
      <c r="J40" s="37"/>
      <c r="K40" s="38"/>
      <c r="L40" s="37" t="s">
        <v>205</v>
      </c>
      <c r="M40" s="37"/>
      <c r="N40" s="37"/>
      <c r="O40" s="37"/>
      <c r="P40" s="37"/>
      <c r="Q40" s="37"/>
      <c r="R40" s="37"/>
      <c r="S40" s="37"/>
      <c r="T40" s="37"/>
    </row>
    <row r="41" spans="5:20" x14ac:dyDescent="0.25">
      <c r="E41" s="31"/>
      <c r="F41" s="29"/>
      <c r="G41" s="29"/>
      <c r="H41" s="29"/>
      <c r="I41" s="29"/>
      <c r="J41" s="29"/>
      <c r="K41" s="29"/>
      <c r="L41" s="31"/>
      <c r="M41" s="29"/>
      <c r="N41" s="29"/>
      <c r="O41" s="29"/>
      <c r="P41" s="29"/>
      <c r="Q41" s="29"/>
      <c r="R41" s="29"/>
      <c r="S41" s="29"/>
      <c r="T41" s="34"/>
    </row>
    <row r="42" spans="5:20" x14ac:dyDescent="0.25">
      <c r="E42" s="32"/>
      <c r="F42" s="26"/>
      <c r="G42" s="26"/>
      <c r="H42" s="26"/>
      <c r="I42" s="26"/>
      <c r="J42" s="26"/>
      <c r="K42" s="26"/>
      <c r="L42" s="32"/>
      <c r="M42" s="26"/>
      <c r="N42" s="26"/>
      <c r="O42" s="26"/>
      <c r="P42" s="26"/>
      <c r="Q42" s="26"/>
      <c r="R42" s="26"/>
      <c r="S42" s="26"/>
      <c r="T42" s="35"/>
    </row>
    <row r="43" spans="5:20" x14ac:dyDescent="0.25">
      <c r="E43" s="32"/>
      <c r="F43" s="26"/>
      <c r="G43" s="26"/>
      <c r="H43" s="26"/>
      <c r="I43" s="26"/>
      <c r="J43" s="26"/>
      <c r="K43" s="26"/>
      <c r="L43" s="32"/>
      <c r="M43" s="26"/>
      <c r="N43" s="26"/>
      <c r="O43" s="26"/>
      <c r="P43" s="26"/>
      <c r="Q43" s="26"/>
      <c r="R43" s="26"/>
      <c r="S43" s="26"/>
      <c r="T43" s="35"/>
    </row>
    <row r="44" spans="5:20" x14ac:dyDescent="0.25">
      <c r="E44" s="32"/>
      <c r="F44" s="26"/>
      <c r="G44" s="26"/>
      <c r="H44" s="26"/>
      <c r="I44" s="26"/>
      <c r="J44" s="26"/>
      <c r="K44" s="26"/>
      <c r="L44" s="32"/>
      <c r="M44" s="26"/>
      <c r="N44" s="26"/>
      <c r="O44" s="26"/>
      <c r="P44" s="26"/>
      <c r="Q44" s="26"/>
      <c r="R44" s="26"/>
      <c r="S44" s="26"/>
      <c r="T44" s="35"/>
    </row>
    <row r="45" spans="5:20" x14ac:dyDescent="0.25">
      <c r="E45" s="32"/>
      <c r="F45" s="26"/>
      <c r="G45" s="26"/>
      <c r="H45" s="26"/>
      <c r="I45" s="26"/>
      <c r="J45" s="26"/>
      <c r="K45" s="26"/>
      <c r="L45" s="32"/>
      <c r="M45" s="26"/>
      <c r="N45" s="26"/>
      <c r="O45" s="26"/>
      <c r="P45" s="26"/>
      <c r="Q45" s="26"/>
      <c r="R45" s="26"/>
      <c r="S45" s="26"/>
      <c r="T45" s="35"/>
    </row>
    <row r="46" spans="5:20" x14ac:dyDescent="0.25">
      <c r="E46" s="32"/>
      <c r="F46" s="26"/>
      <c r="G46" s="26"/>
      <c r="H46" s="26"/>
      <c r="I46" s="26"/>
      <c r="J46" s="26"/>
      <c r="K46" s="26"/>
      <c r="L46" s="32"/>
      <c r="M46" s="26"/>
      <c r="N46" s="26"/>
      <c r="O46" s="26"/>
      <c r="P46" s="26"/>
      <c r="Q46" s="26"/>
      <c r="R46" s="26"/>
      <c r="S46" s="26"/>
      <c r="T46" s="35"/>
    </row>
    <row r="47" spans="5:20" x14ac:dyDescent="0.25">
      <c r="E47" s="32"/>
      <c r="F47" s="26"/>
      <c r="G47" s="26"/>
      <c r="H47" s="26"/>
      <c r="I47" s="26"/>
      <c r="J47" s="26"/>
      <c r="K47" s="26"/>
      <c r="L47" s="32"/>
      <c r="M47" s="26"/>
      <c r="N47" s="26"/>
      <c r="O47" s="26"/>
      <c r="P47" s="26"/>
      <c r="Q47" s="26"/>
      <c r="R47" s="26"/>
      <c r="S47" s="26"/>
      <c r="T47" s="35"/>
    </row>
    <row r="48" spans="5:20" x14ac:dyDescent="0.25">
      <c r="E48" s="32"/>
      <c r="F48" s="26"/>
      <c r="G48" s="26"/>
      <c r="H48" s="26"/>
      <c r="I48" s="26"/>
      <c r="J48" s="26"/>
      <c r="K48" s="26"/>
      <c r="L48" s="32"/>
      <c r="M48" s="26"/>
      <c r="N48" s="26"/>
      <c r="O48" s="26"/>
      <c r="P48" s="26"/>
      <c r="Q48" s="26"/>
      <c r="R48" s="26"/>
      <c r="S48" s="26"/>
      <c r="T48" s="35"/>
    </row>
    <row r="49" spans="5:20" x14ac:dyDescent="0.25">
      <c r="E49" s="32"/>
      <c r="F49" s="26"/>
      <c r="G49" s="26"/>
      <c r="H49" s="26"/>
      <c r="I49" s="26"/>
      <c r="J49" s="26"/>
      <c r="K49" s="26"/>
      <c r="L49" s="32"/>
      <c r="M49" s="26"/>
      <c r="N49" s="26"/>
      <c r="O49" s="26"/>
      <c r="P49" s="26"/>
      <c r="Q49" s="26"/>
      <c r="R49" s="26"/>
      <c r="S49" s="26"/>
      <c r="T49" s="35"/>
    </row>
    <row r="50" spans="5:20" x14ac:dyDescent="0.25">
      <c r="E50" s="32"/>
      <c r="F50" s="26"/>
      <c r="G50" s="26"/>
      <c r="H50" s="26"/>
      <c r="I50" s="26"/>
      <c r="J50" s="26"/>
      <c r="K50" s="26"/>
      <c r="L50" s="32"/>
      <c r="M50" s="26"/>
      <c r="N50" s="26"/>
      <c r="O50" s="26"/>
      <c r="P50" s="26"/>
      <c r="Q50" s="26"/>
      <c r="R50" s="26"/>
      <c r="S50" s="26"/>
      <c r="T50" s="35"/>
    </row>
    <row r="51" spans="5:20" x14ac:dyDescent="0.25">
      <c r="E51" s="32"/>
      <c r="F51" s="26"/>
      <c r="G51" s="26"/>
      <c r="H51" s="26"/>
      <c r="I51" s="26"/>
      <c r="J51" s="26"/>
      <c r="K51" s="26"/>
      <c r="L51" s="32"/>
      <c r="M51" s="26"/>
      <c r="N51" s="26"/>
      <c r="O51" s="26"/>
      <c r="P51" s="26"/>
      <c r="Q51" s="26"/>
      <c r="R51" s="26"/>
      <c r="S51" s="26"/>
      <c r="T51" s="35"/>
    </row>
    <row r="52" spans="5:20" x14ac:dyDescent="0.25">
      <c r="E52" s="32"/>
      <c r="F52" s="26"/>
      <c r="G52" s="26"/>
      <c r="H52" s="26"/>
      <c r="I52" s="26"/>
      <c r="J52" s="26"/>
      <c r="K52" s="26"/>
      <c r="L52" s="32"/>
      <c r="M52" s="26"/>
      <c r="N52" s="26"/>
      <c r="O52" s="26"/>
      <c r="P52" s="26"/>
      <c r="Q52" s="26"/>
      <c r="R52" s="26"/>
      <c r="S52" s="26"/>
      <c r="T52" s="35"/>
    </row>
    <row r="53" spans="5:20" x14ac:dyDescent="0.25">
      <c r="E53" s="32"/>
      <c r="F53" s="26"/>
      <c r="G53" s="26"/>
      <c r="H53" s="26"/>
      <c r="I53" s="26"/>
      <c r="J53" s="26"/>
      <c r="K53" s="26"/>
      <c r="L53" s="32"/>
      <c r="M53" s="26"/>
      <c r="N53" s="26"/>
      <c r="O53" s="26"/>
      <c r="P53" s="26"/>
      <c r="Q53" s="26"/>
      <c r="R53" s="26"/>
      <c r="S53" s="26"/>
      <c r="T53" s="35"/>
    </row>
    <row r="54" spans="5:20" x14ac:dyDescent="0.25">
      <c r="E54" s="32"/>
      <c r="F54" s="26"/>
      <c r="G54" s="26"/>
      <c r="H54" s="26"/>
      <c r="I54" s="26"/>
      <c r="J54" s="26"/>
      <c r="K54" s="26"/>
      <c r="L54" s="32"/>
      <c r="M54" s="26"/>
      <c r="N54" s="26"/>
      <c r="O54" s="26"/>
      <c r="P54" s="26"/>
      <c r="Q54" s="26"/>
      <c r="R54" s="26"/>
      <c r="S54" s="26"/>
      <c r="T54" s="35"/>
    </row>
    <row r="55" spans="5:20" x14ac:dyDescent="0.25">
      <c r="E55" s="32"/>
      <c r="F55" s="26"/>
      <c r="G55" s="26"/>
      <c r="H55" s="26"/>
      <c r="I55" s="26"/>
      <c r="J55" s="26"/>
      <c r="K55" s="26"/>
      <c r="L55" s="32"/>
      <c r="M55" s="26"/>
      <c r="N55" s="26"/>
      <c r="O55" s="26"/>
      <c r="P55" s="26"/>
      <c r="Q55" s="26"/>
      <c r="R55" s="26"/>
      <c r="S55" s="26"/>
      <c r="T55" s="35"/>
    </row>
    <row r="56" spans="5:20" x14ac:dyDescent="0.25">
      <c r="E56" s="32"/>
      <c r="F56" s="26"/>
      <c r="G56" s="26"/>
      <c r="H56" s="26"/>
      <c r="I56" s="26"/>
      <c r="J56" s="26"/>
      <c r="K56" s="26"/>
      <c r="L56" s="32"/>
      <c r="M56" s="26"/>
      <c r="N56" s="26"/>
      <c r="O56" s="26"/>
      <c r="P56" s="26"/>
      <c r="Q56" s="26"/>
      <c r="R56" s="26"/>
      <c r="S56" s="26"/>
      <c r="T56" s="35"/>
    </row>
    <row r="57" spans="5:20" x14ac:dyDescent="0.25">
      <c r="E57" s="32"/>
      <c r="F57" s="26"/>
      <c r="G57" s="26"/>
      <c r="H57" s="26"/>
      <c r="I57" s="26"/>
      <c r="J57" s="26"/>
      <c r="K57" s="26"/>
      <c r="L57" s="32"/>
      <c r="M57" s="26"/>
      <c r="N57" s="26"/>
      <c r="O57" s="26"/>
      <c r="P57" s="26"/>
      <c r="Q57" s="26"/>
      <c r="R57" s="26"/>
      <c r="S57" s="26"/>
      <c r="T57" s="35"/>
    </row>
    <row r="58" spans="5:20" x14ac:dyDescent="0.25">
      <c r="E58" s="32"/>
      <c r="F58" s="26"/>
      <c r="G58" s="26"/>
      <c r="H58" s="26"/>
      <c r="I58" s="26"/>
      <c r="J58" s="26"/>
      <c r="K58" s="26"/>
      <c r="L58" s="32"/>
      <c r="M58" s="26"/>
      <c r="N58" s="26"/>
      <c r="O58" s="26"/>
      <c r="P58" s="26"/>
      <c r="Q58" s="26"/>
      <c r="R58" s="26"/>
      <c r="S58" s="26"/>
      <c r="T58" s="35"/>
    </row>
    <row r="59" spans="5:20" x14ac:dyDescent="0.25">
      <c r="E59" s="32"/>
      <c r="F59" s="26"/>
      <c r="G59" s="26"/>
      <c r="H59" s="26"/>
      <c r="I59" s="26"/>
      <c r="J59" s="26"/>
      <c r="K59" s="26"/>
      <c r="L59" s="32"/>
      <c r="M59" s="26"/>
      <c r="N59" s="26"/>
      <c r="O59" s="26"/>
      <c r="P59" s="26"/>
      <c r="Q59" s="26"/>
      <c r="R59" s="26"/>
      <c r="S59" s="26"/>
      <c r="T59" s="35"/>
    </row>
    <row r="60" spans="5:20" x14ac:dyDescent="0.25">
      <c r="E60" s="32"/>
      <c r="F60" s="26"/>
      <c r="G60" s="26"/>
      <c r="H60" s="26"/>
      <c r="I60" s="26"/>
      <c r="J60" s="26"/>
      <c r="K60" s="26"/>
      <c r="L60" s="32"/>
      <c r="M60" s="26"/>
      <c r="N60" s="26"/>
      <c r="O60" s="26"/>
      <c r="P60" s="26"/>
      <c r="Q60" s="26"/>
      <c r="R60" s="26"/>
      <c r="S60" s="26"/>
      <c r="T60" s="35"/>
    </row>
    <row r="61" spans="5:20" x14ac:dyDescent="0.25">
      <c r="E61" s="33"/>
      <c r="F61" s="30"/>
      <c r="G61" s="30"/>
      <c r="H61" s="30"/>
      <c r="I61" s="30"/>
      <c r="J61" s="30"/>
      <c r="K61" s="30"/>
      <c r="L61" s="33"/>
      <c r="M61" s="30"/>
      <c r="N61" s="30"/>
      <c r="O61" s="30"/>
      <c r="P61" s="30"/>
      <c r="Q61" s="30"/>
      <c r="R61" s="30"/>
      <c r="S61" s="30"/>
      <c r="T61" s="36"/>
    </row>
    <row r="62" spans="5:20" ht="18" customHeight="1" x14ac:dyDescent="0.25">
      <c r="E62" s="28" t="s">
        <v>206</v>
      </c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</row>
    <row r="63" spans="5:20" x14ac:dyDescent="0.25"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</row>
    <row r="64" spans="5:20" ht="20.100000000000001" customHeight="1" x14ac:dyDescent="0.25">
      <c r="E64" s="59" t="s">
        <v>227</v>
      </c>
      <c r="F64" s="59" t="s">
        <v>148</v>
      </c>
      <c r="G64" s="59"/>
      <c r="H64" s="59" t="s">
        <v>2</v>
      </c>
      <c r="I64" s="59"/>
      <c r="J64" s="59" t="s">
        <v>3</v>
      </c>
      <c r="K64" s="59"/>
      <c r="L64" s="59" t="s">
        <v>21</v>
      </c>
      <c r="M64" s="59"/>
      <c r="N64" s="59" t="s">
        <v>8</v>
      </c>
      <c r="O64" s="59"/>
      <c r="P64" s="59" t="s">
        <v>207</v>
      </c>
      <c r="Q64" s="9"/>
      <c r="R64" s="10"/>
      <c r="S64" s="10"/>
      <c r="T64" s="10"/>
    </row>
    <row r="65" spans="5:20" ht="20.100000000000001" customHeight="1" x14ac:dyDescent="0.25">
      <c r="E65" s="51" t="s">
        <v>208</v>
      </c>
      <c r="F65" s="52">
        <v>93</v>
      </c>
      <c r="G65" s="51"/>
      <c r="H65" s="53">
        <v>35</v>
      </c>
      <c r="I65" s="53"/>
      <c r="J65" s="53" t="s">
        <v>23</v>
      </c>
      <c r="K65" s="53"/>
      <c r="L65" s="53" t="s">
        <v>31</v>
      </c>
      <c r="M65" s="53"/>
      <c r="N65" s="53" t="s">
        <v>39</v>
      </c>
      <c r="O65" s="53"/>
      <c r="P65" s="56">
        <v>74</v>
      </c>
      <c r="Q65" s="49"/>
      <c r="R65" s="11"/>
      <c r="S65" s="11"/>
      <c r="T65" s="11"/>
    </row>
    <row r="66" spans="5:20" ht="20.100000000000001" customHeight="1" x14ac:dyDescent="0.25">
      <c r="E66" s="59" t="s">
        <v>55</v>
      </c>
      <c r="F66" s="59"/>
      <c r="G66" s="59"/>
      <c r="H66" s="59" t="s">
        <v>4</v>
      </c>
      <c r="I66" s="59"/>
      <c r="J66" s="59" t="s">
        <v>5</v>
      </c>
      <c r="K66" s="59"/>
      <c r="L66" s="59" t="s">
        <v>209</v>
      </c>
      <c r="M66" s="59"/>
      <c r="N66" s="59" t="s">
        <v>210</v>
      </c>
      <c r="O66" s="59"/>
      <c r="P66" s="59" t="s">
        <v>177</v>
      </c>
      <c r="Q66" s="9"/>
      <c r="R66" s="10"/>
      <c r="S66" s="10"/>
      <c r="T66" s="10"/>
    </row>
    <row r="67" spans="5:20" ht="21.95" customHeight="1" x14ac:dyDescent="0.25">
      <c r="E67" s="51"/>
      <c r="F67" s="52" t="s">
        <v>148</v>
      </c>
      <c r="G67" s="51"/>
      <c r="H67" s="53" t="s">
        <v>166</v>
      </c>
      <c r="I67" s="53"/>
      <c r="J67" s="53" t="s">
        <v>166</v>
      </c>
      <c r="K67" s="53"/>
      <c r="L67" s="53" t="s">
        <v>32</v>
      </c>
      <c r="M67" s="53"/>
      <c r="N67" s="53" t="s">
        <v>28</v>
      </c>
      <c r="O67" s="53"/>
      <c r="P67" s="53" t="s">
        <v>169</v>
      </c>
      <c r="Q67" s="49"/>
      <c r="R67" s="11"/>
      <c r="S67" s="11"/>
      <c r="T67" s="11"/>
    </row>
    <row r="68" spans="5:20" ht="21.95" customHeight="1" x14ac:dyDescent="0.25">
      <c r="E68" s="60" t="s">
        <v>211</v>
      </c>
      <c r="F68" s="77" t="s">
        <v>228</v>
      </c>
      <c r="G68" s="78"/>
      <c r="H68" s="79"/>
      <c r="I68" s="55"/>
      <c r="J68" s="55"/>
      <c r="K68" s="55"/>
      <c r="L68" s="55"/>
      <c r="M68" s="55"/>
      <c r="N68" s="55"/>
      <c r="O68" s="55"/>
      <c r="P68" s="55"/>
      <c r="Q68" s="49"/>
      <c r="R68" s="11"/>
      <c r="S68" s="11"/>
      <c r="T68" s="11"/>
    </row>
    <row r="69" spans="5:20" ht="3.95" customHeight="1" x14ac:dyDescent="0.25">
      <c r="E69" s="60"/>
      <c r="F69" s="54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49"/>
      <c r="R69" s="11"/>
      <c r="S69" s="11"/>
      <c r="T69" s="11"/>
    </row>
    <row r="70" spans="5:20" ht="27.95" customHeight="1" x14ac:dyDescent="0.25">
      <c r="E70" s="60" t="s">
        <v>212</v>
      </c>
      <c r="F70" s="80" t="s">
        <v>229</v>
      </c>
      <c r="G70" s="81"/>
      <c r="H70" s="82"/>
      <c r="I70" s="57"/>
      <c r="J70" s="57"/>
      <c r="K70" s="57"/>
      <c r="L70" s="57"/>
      <c r="M70" s="57"/>
      <c r="N70" s="57"/>
      <c r="O70" s="57"/>
      <c r="P70" s="57"/>
      <c r="Q70" s="49"/>
      <c r="R70" s="11"/>
      <c r="S70" s="11"/>
      <c r="T70" s="11"/>
    </row>
    <row r="71" spans="5:20" ht="5.0999999999999996" customHeight="1" x14ac:dyDescent="0.25">
      <c r="E71" s="51"/>
      <c r="F71" s="52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49"/>
      <c r="R71" s="11"/>
      <c r="S71" s="11"/>
      <c r="T71" s="11"/>
    </row>
    <row r="72" spans="5:20" ht="21.95" customHeight="1" x14ac:dyDescent="0.25">
      <c r="E72" s="60" t="s">
        <v>213</v>
      </c>
      <c r="F72" s="60" t="s">
        <v>214</v>
      </c>
      <c r="G72" s="60"/>
      <c r="H72" s="60" t="s">
        <v>215</v>
      </c>
      <c r="I72" s="61">
        <v>46168</v>
      </c>
      <c r="J72" s="51"/>
      <c r="K72" s="51"/>
      <c r="L72" s="51"/>
      <c r="M72" s="51"/>
      <c r="N72" s="51"/>
      <c r="O72" s="51"/>
      <c r="P72" s="51"/>
      <c r="Q72" s="49"/>
      <c r="R72" s="11"/>
      <c r="S72" s="11"/>
      <c r="T72" s="11"/>
    </row>
    <row r="73" spans="5:20" x14ac:dyDescent="0.25"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40"/>
      <c r="R73" s="40"/>
      <c r="S73" s="40"/>
      <c r="T73" s="40"/>
    </row>
    <row r="74" spans="5:20" x14ac:dyDescent="0.25">
      <c r="E74" s="43"/>
      <c r="F74" s="41"/>
      <c r="G74" s="41"/>
      <c r="H74" s="41"/>
      <c r="I74" s="41"/>
      <c r="J74" s="41"/>
      <c r="K74" s="41"/>
      <c r="L74" s="43"/>
      <c r="M74" s="41"/>
      <c r="N74" s="41"/>
      <c r="O74" s="41"/>
      <c r="P74" s="41"/>
      <c r="Q74" s="41"/>
      <c r="R74" s="41"/>
      <c r="S74" s="41"/>
      <c r="T74" s="46"/>
    </row>
    <row r="75" spans="5:20" x14ac:dyDescent="0.25">
      <c r="E75" s="44"/>
      <c r="F75" s="39"/>
      <c r="G75" s="39"/>
      <c r="H75" s="39"/>
      <c r="I75" s="39"/>
      <c r="J75" s="39"/>
      <c r="K75" s="39"/>
      <c r="L75" s="44"/>
      <c r="M75" s="39"/>
      <c r="N75" s="39"/>
      <c r="O75" s="39"/>
      <c r="P75" s="39"/>
      <c r="Q75" s="39"/>
      <c r="R75" s="39"/>
      <c r="S75" s="39"/>
      <c r="T75" s="47"/>
    </row>
    <row r="76" spans="5:20" x14ac:dyDescent="0.25">
      <c r="E76" s="44"/>
      <c r="F76" s="39"/>
      <c r="G76" s="39"/>
      <c r="H76" s="39"/>
      <c r="I76" s="39"/>
      <c r="J76" s="39"/>
      <c r="K76" s="39"/>
      <c r="L76" s="44"/>
      <c r="M76" s="39"/>
      <c r="N76" s="39"/>
      <c r="O76" s="39"/>
      <c r="P76" s="39"/>
      <c r="Q76" s="39"/>
      <c r="R76" s="39"/>
      <c r="S76" s="39"/>
      <c r="T76" s="47"/>
    </row>
    <row r="77" spans="5:20" x14ac:dyDescent="0.25">
      <c r="E77" s="44"/>
      <c r="F77" s="39"/>
      <c r="G77" s="39"/>
      <c r="H77" s="39"/>
      <c r="I77" s="39"/>
      <c r="J77" s="39"/>
      <c r="K77" s="39"/>
      <c r="L77" s="44"/>
      <c r="M77" s="39"/>
      <c r="N77" s="39"/>
      <c r="O77" s="39"/>
      <c r="P77" s="39"/>
      <c r="Q77" s="39"/>
      <c r="R77" s="39"/>
      <c r="S77" s="39"/>
      <c r="T77" s="47"/>
    </row>
    <row r="78" spans="5:20" x14ac:dyDescent="0.25">
      <c r="E78" s="44"/>
      <c r="F78" s="39"/>
      <c r="G78" s="39"/>
      <c r="H78" s="39"/>
      <c r="I78" s="39"/>
      <c r="J78" s="39"/>
      <c r="K78" s="39"/>
      <c r="L78" s="44"/>
      <c r="M78" s="39"/>
      <c r="N78" s="39"/>
      <c r="O78" s="39"/>
      <c r="P78" s="39"/>
      <c r="Q78" s="39"/>
      <c r="R78" s="39"/>
      <c r="S78" s="39"/>
      <c r="T78" s="47"/>
    </row>
    <row r="79" spans="5:20" x14ac:dyDescent="0.25">
      <c r="E79" s="44"/>
      <c r="F79" s="39"/>
      <c r="G79" s="39"/>
      <c r="H79" s="39"/>
      <c r="I79" s="39"/>
      <c r="J79" s="39"/>
      <c r="K79" s="39"/>
      <c r="L79" s="44"/>
      <c r="M79" s="39"/>
      <c r="N79" s="39"/>
      <c r="O79" s="39"/>
      <c r="P79" s="39"/>
      <c r="Q79" s="39"/>
      <c r="R79" s="39"/>
      <c r="S79" s="39"/>
      <c r="T79" s="47"/>
    </row>
    <row r="80" spans="5:20" x14ac:dyDescent="0.25">
      <c r="E80" s="44"/>
      <c r="F80" s="39"/>
      <c r="G80" s="39"/>
      <c r="H80" s="39"/>
      <c r="I80" s="39"/>
      <c r="J80" s="39"/>
      <c r="K80" s="39"/>
      <c r="L80" s="44"/>
      <c r="M80" s="39"/>
      <c r="N80" s="39"/>
      <c r="O80" s="39"/>
      <c r="P80" s="39"/>
      <c r="Q80" s="39"/>
      <c r="R80" s="39"/>
      <c r="S80" s="39"/>
      <c r="T80" s="47"/>
    </row>
    <row r="81" spans="5:20" x14ac:dyDescent="0.25">
      <c r="E81" s="44"/>
      <c r="F81" s="39"/>
      <c r="G81" s="39"/>
      <c r="H81" s="39"/>
      <c r="I81" s="39"/>
      <c r="J81" s="39"/>
      <c r="K81" s="39"/>
      <c r="L81" s="44"/>
      <c r="M81" s="39"/>
      <c r="N81" s="39"/>
      <c r="O81" s="39"/>
      <c r="P81" s="39"/>
      <c r="Q81" s="39"/>
      <c r="R81" s="39"/>
      <c r="S81" s="39"/>
      <c r="T81" s="47"/>
    </row>
    <row r="82" spans="5:20" x14ac:dyDescent="0.25">
      <c r="E82" s="44"/>
      <c r="F82" s="39"/>
      <c r="G82" s="39"/>
      <c r="H82" s="39"/>
      <c r="I82" s="39"/>
      <c r="J82" s="39"/>
      <c r="K82" s="39"/>
      <c r="L82" s="44"/>
      <c r="M82" s="39"/>
      <c r="N82" s="39"/>
      <c r="O82" s="39"/>
      <c r="P82" s="39"/>
      <c r="Q82" s="39"/>
      <c r="R82" s="39"/>
      <c r="S82" s="39"/>
      <c r="T82" s="47"/>
    </row>
    <row r="83" spans="5:20" x14ac:dyDescent="0.25">
      <c r="E83" s="44"/>
      <c r="F83" s="39"/>
      <c r="G83" s="39"/>
      <c r="H83" s="39"/>
      <c r="I83" s="39"/>
      <c r="J83" s="39"/>
      <c r="K83" s="39"/>
      <c r="L83" s="44"/>
      <c r="M83" s="39"/>
      <c r="N83" s="39"/>
      <c r="O83" s="39"/>
      <c r="P83" s="39"/>
      <c r="Q83" s="39"/>
      <c r="R83" s="39"/>
      <c r="S83" s="39"/>
      <c r="T83" s="47"/>
    </row>
    <row r="84" spans="5:20" x14ac:dyDescent="0.25">
      <c r="E84" s="45"/>
      <c r="F84" s="42"/>
      <c r="G84" s="42"/>
      <c r="H84" s="42"/>
      <c r="I84" s="42"/>
      <c r="J84" s="42"/>
      <c r="K84" s="42"/>
      <c r="L84" s="45"/>
      <c r="M84" s="42"/>
      <c r="N84" s="42"/>
      <c r="O84" s="42"/>
      <c r="P84" s="42"/>
      <c r="Q84" s="42"/>
      <c r="R84" s="42"/>
      <c r="S84" s="42"/>
      <c r="T84" s="48"/>
    </row>
    <row r="86" spans="5:20" x14ac:dyDescent="0.25">
      <c r="E86" s="43"/>
      <c r="F86" s="41"/>
      <c r="G86" s="41"/>
      <c r="H86" s="41"/>
      <c r="I86" s="41"/>
      <c r="J86" s="41"/>
      <c r="K86" s="41"/>
      <c r="L86" s="43"/>
      <c r="M86" s="41"/>
      <c r="N86" s="41"/>
      <c r="O86" s="41"/>
      <c r="P86" s="41"/>
      <c r="Q86" s="41"/>
      <c r="R86" s="41"/>
      <c r="S86" s="41"/>
      <c r="T86" s="46"/>
    </row>
    <row r="87" spans="5:20" x14ac:dyDescent="0.25">
      <c r="E87" s="44"/>
      <c r="F87" s="39"/>
      <c r="G87" s="39"/>
      <c r="H87" s="39"/>
      <c r="I87" s="39"/>
      <c r="J87" s="39"/>
      <c r="K87" s="39"/>
      <c r="L87" s="44"/>
      <c r="M87" s="39"/>
      <c r="N87" s="39"/>
      <c r="O87" s="39"/>
      <c r="P87" s="39"/>
      <c r="Q87" s="39"/>
      <c r="R87" s="39"/>
      <c r="S87" s="39"/>
      <c r="T87" s="47"/>
    </row>
    <row r="88" spans="5:20" x14ac:dyDescent="0.25">
      <c r="E88" s="44"/>
      <c r="F88" s="39"/>
      <c r="G88" s="39"/>
      <c r="H88" s="39"/>
      <c r="I88" s="39"/>
      <c r="J88" s="39"/>
      <c r="K88" s="39"/>
      <c r="L88" s="44"/>
      <c r="M88" s="39"/>
      <c r="N88" s="39"/>
      <c r="O88" s="39"/>
      <c r="P88" s="39"/>
      <c r="Q88" s="39"/>
      <c r="R88" s="39"/>
      <c r="S88" s="39"/>
      <c r="T88" s="47"/>
    </row>
    <row r="89" spans="5:20" x14ac:dyDescent="0.25">
      <c r="E89" s="44"/>
      <c r="F89" s="39"/>
      <c r="G89" s="39"/>
      <c r="H89" s="39"/>
      <c r="I89" s="39"/>
      <c r="J89" s="39"/>
      <c r="K89" s="39"/>
      <c r="L89" s="44"/>
      <c r="M89" s="39"/>
      <c r="N89" s="39"/>
      <c r="O89" s="39"/>
      <c r="P89" s="39"/>
      <c r="Q89" s="39"/>
      <c r="R89" s="39"/>
      <c r="S89" s="39"/>
      <c r="T89" s="47"/>
    </row>
    <row r="90" spans="5:20" x14ac:dyDescent="0.25">
      <c r="E90" s="44"/>
      <c r="F90" s="39"/>
      <c r="G90" s="39"/>
      <c r="H90" s="39"/>
      <c r="I90" s="39"/>
      <c r="J90" s="39"/>
      <c r="K90" s="39"/>
      <c r="L90" s="44"/>
      <c r="M90" s="39"/>
      <c r="N90" s="39"/>
      <c r="O90" s="39"/>
      <c r="P90" s="39"/>
      <c r="Q90" s="39"/>
      <c r="R90" s="39"/>
      <c r="S90" s="39"/>
      <c r="T90" s="47"/>
    </row>
    <row r="91" spans="5:20" x14ac:dyDescent="0.25">
      <c r="E91" s="44"/>
      <c r="F91" s="39"/>
      <c r="G91" s="39"/>
      <c r="H91" s="39"/>
      <c r="I91" s="39"/>
      <c r="J91" s="39"/>
      <c r="K91" s="39"/>
      <c r="L91" s="44"/>
      <c r="M91" s="39"/>
      <c r="N91" s="39"/>
      <c r="O91" s="39"/>
      <c r="P91" s="39"/>
      <c r="Q91" s="39"/>
      <c r="R91" s="39"/>
      <c r="S91" s="39"/>
      <c r="T91" s="47"/>
    </row>
    <row r="92" spans="5:20" x14ac:dyDescent="0.25">
      <c r="E92" s="44"/>
      <c r="F92" s="39"/>
      <c r="G92" s="39"/>
      <c r="H92" s="39"/>
      <c r="I92" s="39"/>
      <c r="J92" s="39"/>
      <c r="K92" s="39"/>
      <c r="L92" s="44"/>
      <c r="M92" s="39"/>
      <c r="N92" s="39"/>
      <c r="O92" s="39"/>
      <c r="P92" s="39"/>
      <c r="Q92" s="39"/>
      <c r="R92" s="39"/>
      <c r="S92" s="39"/>
      <c r="T92" s="47"/>
    </row>
    <row r="93" spans="5:20" x14ac:dyDescent="0.25">
      <c r="E93" s="44"/>
      <c r="F93" s="39"/>
      <c r="G93" s="39"/>
      <c r="H93" s="39"/>
      <c r="I93" s="39"/>
      <c r="J93" s="39"/>
      <c r="K93" s="39"/>
      <c r="L93" s="44"/>
      <c r="M93" s="39"/>
      <c r="N93" s="39"/>
      <c r="O93" s="39"/>
      <c r="P93" s="39"/>
      <c r="Q93" s="39"/>
      <c r="R93" s="39"/>
      <c r="S93" s="39"/>
      <c r="T93" s="47"/>
    </row>
    <row r="94" spans="5:20" x14ac:dyDescent="0.25">
      <c r="E94" s="44"/>
      <c r="F94" s="39"/>
      <c r="G94" s="39"/>
      <c r="H94" s="39"/>
      <c r="I94" s="39"/>
      <c r="J94" s="39"/>
      <c r="K94" s="39"/>
      <c r="L94" s="44"/>
      <c r="M94" s="39"/>
      <c r="N94" s="39"/>
      <c r="O94" s="39"/>
      <c r="P94" s="39"/>
      <c r="Q94" s="39"/>
      <c r="R94" s="39"/>
      <c r="S94" s="39"/>
      <c r="T94" s="47"/>
    </row>
    <row r="95" spans="5:20" x14ac:dyDescent="0.25">
      <c r="E95" s="44"/>
      <c r="F95" s="39"/>
      <c r="G95" s="39"/>
      <c r="H95" s="39"/>
      <c r="I95" s="39"/>
      <c r="J95" s="39"/>
      <c r="K95" s="39"/>
      <c r="L95" s="44"/>
      <c r="M95" s="39"/>
      <c r="N95" s="39"/>
      <c r="O95" s="39"/>
      <c r="P95" s="39"/>
      <c r="Q95" s="39"/>
      <c r="R95" s="39"/>
      <c r="S95" s="39"/>
      <c r="T95" s="47"/>
    </row>
    <row r="96" spans="5:20" x14ac:dyDescent="0.25">
      <c r="E96" s="45"/>
      <c r="F96" s="42"/>
      <c r="G96" s="42"/>
      <c r="H96" s="42"/>
      <c r="I96" s="42"/>
      <c r="J96" s="42"/>
      <c r="K96" s="42"/>
      <c r="L96" s="45"/>
      <c r="M96" s="42"/>
      <c r="N96" s="42"/>
      <c r="O96" s="42"/>
      <c r="P96" s="42"/>
      <c r="Q96" s="42"/>
      <c r="R96" s="42"/>
      <c r="S96" s="42"/>
      <c r="T96" s="48"/>
    </row>
    <row r="98" spans="5:20" x14ac:dyDescent="0.25">
      <c r="E98" s="43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6"/>
    </row>
    <row r="99" spans="5:20" x14ac:dyDescent="0.25">
      <c r="E99" s="44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47"/>
    </row>
    <row r="100" spans="5:20" x14ac:dyDescent="0.25">
      <c r="E100" s="44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47"/>
    </row>
    <row r="101" spans="5:20" x14ac:dyDescent="0.25">
      <c r="E101" s="44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47"/>
    </row>
    <row r="102" spans="5:20" x14ac:dyDescent="0.25">
      <c r="E102" s="44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47"/>
    </row>
    <row r="103" spans="5:20" x14ac:dyDescent="0.25">
      <c r="E103" s="44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47"/>
    </row>
    <row r="104" spans="5:20" x14ac:dyDescent="0.25">
      <c r="E104" s="44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47"/>
    </row>
    <row r="105" spans="5:20" x14ac:dyDescent="0.25">
      <c r="E105" s="44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47"/>
    </row>
    <row r="106" spans="5:20" x14ac:dyDescent="0.25">
      <c r="E106" s="44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47"/>
    </row>
    <row r="107" spans="5:20" x14ac:dyDescent="0.25">
      <c r="E107" s="44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47"/>
    </row>
    <row r="108" spans="5:20" x14ac:dyDescent="0.25">
      <c r="E108" s="44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47"/>
    </row>
    <row r="109" spans="5:20" x14ac:dyDescent="0.25">
      <c r="E109" s="44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47"/>
    </row>
    <row r="110" spans="5:20" x14ac:dyDescent="0.25">
      <c r="E110" s="45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8"/>
    </row>
  </sheetData>
  <mergeCells count="3">
    <mergeCell ref="E19:F19"/>
    <mergeCell ref="F68:H68"/>
    <mergeCell ref="F70:H70"/>
  </mergeCells>
  <phoneticPr fontId="3" type="noConversion"/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07B3616D-62D3-4CD7-9AA3-199CDA05B4BA}">
          <x14:formula1>
            <xm:f>'Patient Lookup'!$B$2:$B$4</xm:f>
          </x14:formula1>
          <xm:sqref>F12:F13</xm:sqref>
        </x14:dataValidation>
        <x14:dataValidation type="list" allowBlank="1" showInputMessage="1" showErrorMessage="1" xr:uid="{6674808F-B464-4136-86AA-0B932FA65A02}">
          <x14:formula1>
            <xm:f>'Patient Lookup'!$C$2:$C$5</xm:f>
          </x14:formula1>
          <xm:sqref>H12:H13</xm:sqref>
        </x14:dataValidation>
        <x14:dataValidation type="list" allowBlank="1" showInputMessage="1" showErrorMessage="1" xr:uid="{E797A93F-708C-4384-95DD-FEF84F977ABB}">
          <x14:formula1>
            <xm:f>'Patient Lookup'!$D$2:$D$5</xm:f>
          </x14:formula1>
          <xm:sqref>J12:J13</xm:sqref>
        </x14:dataValidation>
        <x14:dataValidation type="list" allowBlank="1" showInputMessage="1" showErrorMessage="1" xr:uid="{46F82694-F67E-45D5-89A0-6C5152DC027F}">
          <x14:formula1>
            <xm:f>'Patient Lookup'!$E$2:$E$5</xm:f>
          </x14:formula1>
          <xm:sqref>L12:L13</xm:sqref>
        </x14:dataValidation>
        <x14:dataValidation type="list" allowBlank="1" showInputMessage="1" showErrorMessage="1" xr:uid="{7D09B57C-7B04-458D-B18E-CA36A70BDCCB}">
          <x14:formula1>
            <xm:f>'Patient Lookup'!$F$2:$F$4</xm:f>
          </x14:formula1>
          <xm:sqref>N12:N13</xm:sqref>
        </x14:dataValidation>
        <x14:dataValidation type="list" allowBlank="1" showInputMessage="1" showErrorMessage="1" xr:uid="{C42749A4-637A-4326-B9AA-CFFB542C6E4B}">
          <x14:formula1>
            <xm:f>'Patient Lookup'!$G$2:$G$3</xm:f>
          </x14:formula1>
          <xm:sqref>P12:P13</xm:sqref>
        </x14:dataValidation>
        <x14:dataValidation type="list" allowBlank="1" showInputMessage="1" showErrorMessage="1" xr:uid="{A51E87A7-F65D-476A-8E13-7D8541661A8E}">
          <x14:formula1>
            <xm:f>'Patient Lookup'!$H$2:$H$4</xm:f>
          </x14:formula1>
          <xm:sqref>F14</xm:sqref>
        </x14:dataValidation>
        <x14:dataValidation type="list" allowBlank="1" showInputMessage="1" showErrorMessage="1" xr:uid="{4FDBD741-A41A-4064-9C85-8BA3496442EC}">
          <x14:formula1>
            <xm:f>'Patient Lookup'!$I$2:$I$4</xm:f>
          </x14:formula1>
          <xm:sqref>H14</xm:sqref>
        </x14:dataValidation>
        <x14:dataValidation type="list" allowBlank="1" showInputMessage="1" showErrorMessage="1" xr:uid="{70C2130B-8591-4C43-91F6-CA7084C35C90}">
          <x14:formula1>
            <xm:f>'Patient Lookup'!$J$2:$J$3</xm:f>
          </x14:formula1>
          <xm:sqref>J14</xm:sqref>
        </x14:dataValidation>
        <x14:dataValidation type="list" allowBlank="1" showInputMessage="1" showErrorMessage="1" xr:uid="{4CA8E80B-25E7-40ED-B258-1D3BFBAE34BB}">
          <x14:formula1>
            <xm:f>'Patient Lookup'!$K$2:$K$5</xm:f>
          </x14:formula1>
          <xm:sqref>L14</xm:sqref>
        </x14:dataValidation>
        <x14:dataValidation type="list" allowBlank="1" showInputMessage="1" showErrorMessage="1" xr:uid="{A845A858-E58C-4FF2-9AF7-EEF9197195BD}">
          <x14:formula1>
            <xm:f>'Patient Lookup'!$L$2:$L$3</xm:f>
          </x14:formula1>
          <xm:sqref>N14</xm:sqref>
        </x14:dataValidation>
        <x14:dataValidation type="list" allowBlank="1" showInputMessage="1" showErrorMessage="1" errorTitle="Invalid Patient Name" error="Select a patient name from the dropdown list." promptTitle="Select Patient Name" prompt="Choose a patient name to update the patient-level drill down." xr:uid="{14CD08EC-5A1C-4C6E-B8F5-B4194F4F0E9E}">
          <x14:formula1>
            <xm:f>'Patient Lookup'!$A$2:$A$97</xm:f>
          </x14:formula1>
          <xm:sqref>F64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B74F7-AFBF-498F-B815-857C440D7C54}">
  <sheetPr>
    <tabColor rgb="FF6B7280"/>
  </sheetPr>
  <dimension ref="A1:O97"/>
  <sheetViews>
    <sheetView showGridLines="0" workbookViewId="0">
      <selection activeCell="A2" sqref="A2"/>
    </sheetView>
  </sheetViews>
  <sheetFormatPr defaultRowHeight="15" x14ac:dyDescent="0.25"/>
  <cols>
    <col min="1" max="1" width="17" bestFit="1" customWidth="1"/>
    <col min="2" max="2" width="7.7109375" bestFit="1" customWidth="1"/>
    <col min="3" max="3" width="10.42578125" bestFit="1" customWidth="1"/>
    <col min="4" max="4" width="7.140625" bestFit="1" customWidth="1"/>
    <col min="5" max="5" width="16.5703125" bestFit="1" customWidth="1"/>
    <col min="6" max="6" width="15.28515625" bestFit="1" customWidth="1"/>
    <col min="7" max="7" width="17.5703125" bestFit="1" customWidth="1"/>
    <col min="8" max="8" width="13.140625" bestFit="1" customWidth="1"/>
    <col min="9" max="9" width="13.28515625" bestFit="1" customWidth="1"/>
    <col min="10" max="10" width="15" bestFit="1" customWidth="1"/>
    <col min="11" max="11" width="9.7109375" bestFit="1" customWidth="1"/>
    <col min="12" max="12" width="11.85546875" bestFit="1" customWidth="1"/>
    <col min="14" max="14" width="18.5703125" bestFit="1" customWidth="1"/>
    <col min="15" max="15" width="69.140625" bestFit="1" customWidth="1"/>
  </cols>
  <sheetData>
    <row r="1" spans="1:15" x14ac:dyDescent="0.25">
      <c r="A1" s="3" t="s">
        <v>225</v>
      </c>
      <c r="B1" s="3" t="s">
        <v>3</v>
      </c>
      <c r="C1" s="3" t="s">
        <v>156</v>
      </c>
      <c r="D1" s="3" t="s">
        <v>21</v>
      </c>
      <c r="E1" s="3" t="s">
        <v>11</v>
      </c>
      <c r="F1" s="3" t="s">
        <v>176</v>
      </c>
      <c r="G1" s="3" t="s">
        <v>177</v>
      </c>
      <c r="H1" s="3" t="s">
        <v>4</v>
      </c>
      <c r="I1" s="3" t="s">
        <v>5</v>
      </c>
      <c r="J1" s="3" t="s">
        <v>8</v>
      </c>
      <c r="K1" s="3" t="s">
        <v>157</v>
      </c>
      <c r="L1" s="3" t="s">
        <v>162</v>
      </c>
      <c r="N1" s="3" t="s">
        <v>179</v>
      </c>
      <c r="O1" s="3" t="s">
        <v>180</v>
      </c>
    </row>
    <row r="2" spans="1:15" x14ac:dyDescent="0.25">
      <c r="A2" t="str">
        <f>'Medical History'!E2</f>
        <v>A Roy</v>
      </c>
      <c r="B2" t="s">
        <v>178</v>
      </c>
      <c r="C2" t="s">
        <v>178</v>
      </c>
      <c r="D2" t="s">
        <v>178</v>
      </c>
      <c r="E2" t="s">
        <v>178</v>
      </c>
      <c r="F2" t="s">
        <v>178</v>
      </c>
      <c r="G2" t="s">
        <v>178</v>
      </c>
      <c r="H2" t="s">
        <v>178</v>
      </c>
      <c r="I2" t="s">
        <v>178</v>
      </c>
      <c r="J2" t="s">
        <v>178</v>
      </c>
      <c r="K2" t="s">
        <v>178</v>
      </c>
      <c r="L2" t="s">
        <v>178</v>
      </c>
      <c r="N2" t="s">
        <v>181</v>
      </c>
      <c r="O2" t="s">
        <v>182</v>
      </c>
    </row>
    <row r="3" spans="1:15" x14ac:dyDescent="0.25">
      <c r="A3" t="str">
        <f>'Medical History'!E3</f>
        <v>A Shenoy</v>
      </c>
      <c r="B3" t="s">
        <v>23</v>
      </c>
      <c r="C3" t="s">
        <v>171</v>
      </c>
      <c r="D3" t="s">
        <v>41</v>
      </c>
      <c r="E3" t="s">
        <v>32</v>
      </c>
      <c r="F3" t="s">
        <v>34</v>
      </c>
      <c r="G3" t="s">
        <v>167</v>
      </c>
      <c r="H3" t="s">
        <v>166</v>
      </c>
      <c r="I3" t="s">
        <v>166</v>
      </c>
      <c r="J3" t="s">
        <v>39</v>
      </c>
      <c r="K3" t="s">
        <v>47</v>
      </c>
      <c r="L3" t="s">
        <v>155</v>
      </c>
      <c r="N3" t="s">
        <v>183</v>
      </c>
      <c r="O3" t="s">
        <v>184</v>
      </c>
    </row>
    <row r="4" spans="1:15" x14ac:dyDescent="0.25">
      <c r="A4" t="str">
        <f>'Medical History'!E4</f>
        <v>S Geloy</v>
      </c>
      <c r="B4" t="s">
        <v>38</v>
      </c>
      <c r="C4" t="s">
        <v>170</v>
      </c>
      <c r="D4" t="s">
        <v>31</v>
      </c>
      <c r="E4" t="s">
        <v>26</v>
      </c>
      <c r="F4" t="s">
        <v>28</v>
      </c>
      <c r="G4" t="s">
        <v>169</v>
      </c>
      <c r="H4" t="s">
        <v>165</v>
      </c>
      <c r="I4" t="s">
        <v>165</v>
      </c>
      <c r="J4" t="s">
        <v>25</v>
      </c>
      <c r="K4" t="s">
        <v>168</v>
      </c>
      <c r="L4" t="s">
        <v>154</v>
      </c>
      <c r="N4" t="s">
        <v>185</v>
      </c>
      <c r="O4" t="s">
        <v>186</v>
      </c>
    </row>
    <row r="5" spans="1:15" x14ac:dyDescent="0.25">
      <c r="A5" t="str">
        <f>'Medical History'!E5</f>
        <v>G Messy</v>
      </c>
      <c r="C5" t="s">
        <v>164</v>
      </c>
      <c r="D5" t="s">
        <v>37</v>
      </c>
      <c r="E5" t="s">
        <v>54</v>
      </c>
      <c r="F5" t="s">
        <v>40</v>
      </c>
      <c r="K5" t="s">
        <v>36</v>
      </c>
      <c r="N5" t="s">
        <v>187</v>
      </c>
      <c r="O5" t="s">
        <v>188</v>
      </c>
    </row>
    <row r="6" spans="1:15" x14ac:dyDescent="0.25">
      <c r="A6" t="str">
        <f>'Medical History'!E6</f>
        <v>B Bern</v>
      </c>
      <c r="D6" t="s">
        <v>45</v>
      </c>
      <c r="E6" t="s">
        <v>50</v>
      </c>
      <c r="N6" t="s">
        <v>189</v>
      </c>
      <c r="O6" t="s">
        <v>190</v>
      </c>
    </row>
    <row r="7" spans="1:15" x14ac:dyDescent="0.25">
      <c r="A7" t="str">
        <f>'Medical History'!E7</f>
        <v>S Bush</v>
      </c>
      <c r="N7" t="s">
        <v>191</v>
      </c>
      <c r="O7" t="s">
        <v>192</v>
      </c>
    </row>
    <row r="8" spans="1:15" x14ac:dyDescent="0.25">
      <c r="A8" t="str">
        <f>'Medical History'!E8</f>
        <v>W Bern</v>
      </c>
      <c r="N8" t="s">
        <v>175</v>
      </c>
      <c r="O8" t="s">
        <v>226</v>
      </c>
    </row>
    <row r="9" spans="1:15" x14ac:dyDescent="0.25">
      <c r="A9" t="str">
        <f>'Medical History'!E9</f>
        <v>N Jordan</v>
      </c>
      <c r="N9" t="s">
        <v>193</v>
      </c>
      <c r="O9" t="s">
        <v>194</v>
      </c>
    </row>
    <row r="10" spans="1:15" x14ac:dyDescent="0.25">
      <c r="A10" t="str">
        <f>'Medical History'!E10</f>
        <v>M Jordan</v>
      </c>
    </row>
    <row r="11" spans="1:15" x14ac:dyDescent="0.25">
      <c r="A11" t="str">
        <f>'Medical History'!E11</f>
        <v>A Sundar</v>
      </c>
    </row>
    <row r="12" spans="1:15" x14ac:dyDescent="0.25">
      <c r="A12" t="str">
        <f>'Medical History'!E12</f>
        <v>L Armstrong</v>
      </c>
    </row>
    <row r="13" spans="1:15" x14ac:dyDescent="0.25">
      <c r="A13" t="str">
        <f>'Medical History'!E13</f>
        <v>M Fritzler</v>
      </c>
    </row>
    <row r="14" spans="1:15" x14ac:dyDescent="0.25">
      <c r="A14" t="str">
        <f>'Medical History'!E14</f>
        <v>K Black</v>
      </c>
    </row>
    <row r="15" spans="1:15" x14ac:dyDescent="0.25">
      <c r="A15" t="str">
        <f>'Medical History'!E15</f>
        <v>J Bell-</v>
      </c>
    </row>
    <row r="16" spans="1:15" x14ac:dyDescent="0.25">
      <c r="A16" t="str">
        <f>'Medical History'!E16</f>
        <v>D Eno</v>
      </c>
    </row>
    <row r="17" spans="1:1" x14ac:dyDescent="0.25">
      <c r="A17" t="str">
        <f>'Medical History'!E17</f>
        <v>D percer</v>
      </c>
    </row>
    <row r="18" spans="1:1" x14ac:dyDescent="0.25">
      <c r="A18" t="str">
        <f>'Medical History'!E18</f>
        <v>R Collins</v>
      </c>
    </row>
    <row r="19" spans="1:1" x14ac:dyDescent="0.25">
      <c r="A19" t="str">
        <f>'Medical History'!E19</f>
        <v>W Brown</v>
      </c>
    </row>
    <row r="20" spans="1:1" x14ac:dyDescent="0.25">
      <c r="A20" t="str">
        <f>'Medical History'!E20</f>
        <v>B Eplett</v>
      </c>
    </row>
    <row r="21" spans="1:1" x14ac:dyDescent="0.25">
      <c r="A21" t="str">
        <f>'Medical History'!E21</f>
        <v>E Hoffmann</v>
      </c>
    </row>
    <row r="22" spans="1:1" x14ac:dyDescent="0.25">
      <c r="A22" t="str">
        <f>'Medical History'!E22</f>
        <v>C Clark</v>
      </c>
    </row>
    <row r="23" spans="1:1" x14ac:dyDescent="0.25">
      <c r="A23" t="str">
        <f>'Medical History'!E23</f>
        <v>D Lloyd</v>
      </c>
    </row>
    <row r="24" spans="1:1" x14ac:dyDescent="0.25">
      <c r="A24" t="str">
        <f>'Medical History'!E24</f>
        <v>T Dahlen</v>
      </c>
    </row>
    <row r="25" spans="1:1" x14ac:dyDescent="0.25">
      <c r="A25" t="str">
        <f>'Medical History'!E25</f>
        <v>P Gonzalez</v>
      </c>
    </row>
    <row r="26" spans="1:1" x14ac:dyDescent="0.25">
      <c r="A26" t="str">
        <f>'Medical History'!E26</f>
        <v>F Preis</v>
      </c>
    </row>
    <row r="27" spans="1:1" x14ac:dyDescent="0.25">
      <c r="A27" t="str">
        <f>'Medical History'!E27</f>
        <v>B Talbott</v>
      </c>
    </row>
    <row r="28" spans="1:1" x14ac:dyDescent="0.25">
      <c r="A28" t="str">
        <f>'Medical History'!E28</f>
        <v>T Braunhardt</v>
      </c>
    </row>
    <row r="29" spans="1:1" x14ac:dyDescent="0.25">
      <c r="A29" t="str">
        <f>'Medical History'!E29</f>
        <v>C Brittain</v>
      </c>
    </row>
    <row r="30" spans="1:1" x14ac:dyDescent="0.25">
      <c r="A30" t="str">
        <f>'Medical History'!E30</f>
        <v>C Bergmann</v>
      </c>
    </row>
    <row r="31" spans="1:1" x14ac:dyDescent="0.25">
      <c r="A31" t="str">
        <f>'Medical History'!E31</f>
        <v>H Goldwyn</v>
      </c>
    </row>
    <row r="32" spans="1:1" x14ac:dyDescent="0.25">
      <c r="A32" t="str">
        <f>'Medical History'!E32</f>
        <v>T Boyes</v>
      </c>
    </row>
    <row r="33" spans="1:1" x14ac:dyDescent="0.25">
      <c r="A33" t="str">
        <f>'Medical History'!E33</f>
        <v>J Doherty</v>
      </c>
    </row>
    <row r="34" spans="1:1" x14ac:dyDescent="0.25">
      <c r="A34" t="str">
        <f>'Medical History'!E34</f>
        <v>J Farry</v>
      </c>
    </row>
    <row r="35" spans="1:1" x14ac:dyDescent="0.25">
      <c r="A35" t="str">
        <f>'Medical History'!E35</f>
        <v>S Cartwright</v>
      </c>
    </row>
    <row r="36" spans="1:1" x14ac:dyDescent="0.25">
      <c r="A36" t="str">
        <f>'Medical History'!E36</f>
        <v>T Brockman</v>
      </c>
    </row>
    <row r="37" spans="1:1" x14ac:dyDescent="0.25">
      <c r="A37" t="str">
        <f>'Medical History'!E37</f>
        <v>H Engle</v>
      </c>
    </row>
    <row r="38" spans="1:1" x14ac:dyDescent="0.25">
      <c r="A38" t="str">
        <f>'Medical History'!E38</f>
        <v>D Flashing</v>
      </c>
    </row>
    <row r="39" spans="1:1" x14ac:dyDescent="0.25">
      <c r="A39" t="str">
        <f>'Medical History'!E39</f>
        <v>S A</v>
      </c>
    </row>
    <row r="40" spans="1:1" x14ac:dyDescent="0.25">
      <c r="A40" t="str">
        <f>'Medical History'!E40</f>
        <v>A Bixby</v>
      </c>
    </row>
    <row r="41" spans="1:1" x14ac:dyDescent="0.25">
      <c r="A41" t="str">
        <f>'Medical History'!E41</f>
        <v>J Klamczynski</v>
      </c>
    </row>
    <row r="42" spans="1:1" x14ac:dyDescent="0.25">
      <c r="A42" t="str">
        <f>'Medical History'!E42</f>
        <v>B Ferrer</v>
      </c>
    </row>
    <row r="43" spans="1:1" x14ac:dyDescent="0.25">
      <c r="A43" t="str">
        <f>'Medical History'!E43</f>
        <v>C Kinney</v>
      </c>
    </row>
    <row r="44" spans="1:1" x14ac:dyDescent="0.25">
      <c r="A44" t="str">
        <f>'Medical History'!E44</f>
        <v>S McNair</v>
      </c>
    </row>
    <row r="45" spans="1:1" x14ac:dyDescent="0.25">
      <c r="A45" t="str">
        <f>'Medical History'!E45</f>
        <v>A Barton</v>
      </c>
    </row>
    <row r="46" spans="1:1" x14ac:dyDescent="0.25">
      <c r="A46" t="str">
        <f>'Medical History'!E46</f>
        <v>S Engle</v>
      </c>
    </row>
    <row r="47" spans="1:1" x14ac:dyDescent="0.25">
      <c r="A47" t="str">
        <f>'Medical History'!E47</f>
        <v>N Staavos</v>
      </c>
    </row>
    <row r="48" spans="1:1" x14ac:dyDescent="0.25">
      <c r="A48" t="str">
        <f>'Medical History'!E48</f>
        <v>L Carlisle</v>
      </c>
    </row>
    <row r="49" spans="1:1" x14ac:dyDescent="0.25">
      <c r="A49" t="str">
        <f>'Medical History'!E49</f>
        <v>T Blumstein</v>
      </c>
    </row>
    <row r="50" spans="1:1" x14ac:dyDescent="0.25">
      <c r="A50" t="str">
        <f>'Medical History'!E50</f>
        <v>M Schnelling</v>
      </c>
    </row>
    <row r="51" spans="1:1" x14ac:dyDescent="0.25">
      <c r="A51" t="str">
        <f>'Medical History'!E51</f>
        <v>J Braxton</v>
      </c>
    </row>
    <row r="52" spans="1:1" x14ac:dyDescent="0.25">
      <c r="A52" t="str">
        <f>'Medical History'!E52</f>
        <v>P Prost</v>
      </c>
    </row>
    <row r="53" spans="1:1" x14ac:dyDescent="0.25">
      <c r="A53" t="str">
        <f>'Medical History'!E53</f>
        <v>A Zypern</v>
      </c>
    </row>
    <row r="54" spans="1:1" x14ac:dyDescent="0.25">
      <c r="A54" t="str">
        <f>'Medical History'!E54</f>
        <v>K Bern</v>
      </c>
    </row>
    <row r="55" spans="1:1" x14ac:dyDescent="0.25">
      <c r="A55" t="str">
        <f>'Medical History'!E55</f>
        <v>C Anderson</v>
      </c>
    </row>
    <row r="56" spans="1:1" x14ac:dyDescent="0.25">
      <c r="A56" t="str">
        <f>'Medical History'!E56</f>
        <v>B Elias</v>
      </c>
    </row>
    <row r="57" spans="1:1" x14ac:dyDescent="0.25">
      <c r="A57" t="str">
        <f>'Medical History'!E57</f>
        <v>C Hwang</v>
      </c>
    </row>
    <row r="58" spans="1:1" x14ac:dyDescent="0.25">
      <c r="A58" t="str">
        <f>'Medical History'!E58</f>
        <v>M Haberlin</v>
      </c>
    </row>
    <row r="59" spans="1:1" x14ac:dyDescent="0.25">
      <c r="A59" t="str">
        <f>'Medical History'!E59</f>
        <v>J Ritter</v>
      </c>
    </row>
    <row r="60" spans="1:1" x14ac:dyDescent="0.25">
      <c r="A60" t="str">
        <f>'Medical History'!E60</f>
        <v>P Breyer</v>
      </c>
    </row>
    <row r="61" spans="1:1" x14ac:dyDescent="0.25">
      <c r="A61" t="str">
        <f>'Medical History'!E61</f>
        <v>J Stevenson</v>
      </c>
    </row>
    <row r="62" spans="1:1" x14ac:dyDescent="0.25">
      <c r="A62" t="str">
        <f>'Medical History'!E62</f>
        <v>R DeVincentis</v>
      </c>
    </row>
    <row r="63" spans="1:1" x14ac:dyDescent="0.25">
      <c r="A63" t="str">
        <f>'Medical History'!E63</f>
        <v>D Kipp</v>
      </c>
    </row>
    <row r="64" spans="1:1" x14ac:dyDescent="0.25">
      <c r="A64" t="str">
        <f>'Medical History'!E64</f>
        <v>F McMath</v>
      </c>
    </row>
    <row r="65" spans="1:1" x14ac:dyDescent="0.25">
      <c r="A65" t="str">
        <f>'Medical History'!E65</f>
        <v>P Gardner</v>
      </c>
    </row>
    <row r="66" spans="1:1" x14ac:dyDescent="0.25">
      <c r="A66" t="str">
        <f>'Medical History'!E66</f>
        <v>E Ashbrook</v>
      </c>
    </row>
    <row r="67" spans="1:1" x14ac:dyDescent="0.25">
      <c r="A67" t="str">
        <f>'Medical History'!E67</f>
        <v>J Dryer</v>
      </c>
    </row>
    <row r="68" spans="1:1" x14ac:dyDescent="0.25">
      <c r="A68" t="str">
        <f>'Medical History'!E68</f>
        <v>G Weimer</v>
      </c>
    </row>
    <row r="69" spans="1:1" x14ac:dyDescent="0.25">
      <c r="A69" t="str">
        <f>'Medical History'!E69</f>
        <v>J Fjeld</v>
      </c>
    </row>
    <row r="70" spans="1:1" x14ac:dyDescent="0.25">
      <c r="A70" t="str">
        <f>'Medical History'!E70</f>
        <v>G Tran</v>
      </c>
    </row>
    <row r="71" spans="1:1" x14ac:dyDescent="0.25">
      <c r="A71" t="str">
        <f>'Medical History'!E71</f>
        <v>A Hwang</v>
      </c>
    </row>
    <row r="72" spans="1:1" x14ac:dyDescent="0.25">
      <c r="A72" t="str">
        <f>'Medical History'!E72</f>
        <v>M Clasen</v>
      </c>
    </row>
    <row r="73" spans="1:1" x14ac:dyDescent="0.25">
      <c r="A73" t="str">
        <f>'Medical History'!E73</f>
        <v>B Venier</v>
      </c>
    </row>
    <row r="74" spans="1:1" x14ac:dyDescent="0.25">
      <c r="A74" t="str">
        <f>'Medical History'!E74</f>
        <v>L Castell</v>
      </c>
    </row>
    <row r="75" spans="1:1" x14ac:dyDescent="0.25">
      <c r="A75" t="str">
        <f>'Medical History'!E75</f>
        <v>P Hugh</v>
      </c>
    </row>
    <row r="76" spans="1:1" x14ac:dyDescent="0.25">
      <c r="A76" t="str">
        <f>'Medical History'!E76</f>
        <v>T Zic</v>
      </c>
    </row>
    <row r="77" spans="1:1" x14ac:dyDescent="0.25">
      <c r="A77" t="str">
        <f>'Medical History'!E77</f>
        <v>A Crouse</v>
      </c>
    </row>
    <row r="78" spans="1:1" x14ac:dyDescent="0.25">
      <c r="A78" t="str">
        <f>'Medical History'!E78</f>
        <v>B Degenhardt</v>
      </c>
    </row>
    <row r="79" spans="1:1" x14ac:dyDescent="0.25">
      <c r="A79" t="str">
        <f>'Medical History'!E79</f>
        <v>D Lawera</v>
      </c>
    </row>
    <row r="80" spans="1:1" x14ac:dyDescent="0.25">
      <c r="A80" t="str">
        <f>'Medical History'!E80</f>
        <v>E Barreto</v>
      </c>
    </row>
    <row r="81" spans="1:1" x14ac:dyDescent="0.25">
      <c r="A81" t="str">
        <f>'Medical History'!E81</f>
        <v>D Weiss</v>
      </c>
    </row>
    <row r="82" spans="1:1" x14ac:dyDescent="0.25">
      <c r="A82" t="str">
        <f>'Medical History'!E82</f>
        <v>L Cacioppo</v>
      </c>
    </row>
    <row r="83" spans="1:1" x14ac:dyDescent="0.25">
      <c r="A83" t="str">
        <f>'Medical History'!E83</f>
        <v>R Reed</v>
      </c>
    </row>
    <row r="84" spans="1:1" x14ac:dyDescent="0.25">
      <c r="A84" t="str">
        <f>'Medical History'!E84</f>
        <v>K Daniels</v>
      </c>
    </row>
    <row r="85" spans="1:1" x14ac:dyDescent="0.25">
      <c r="A85" t="str">
        <f>'Medical History'!E85</f>
        <v>O Nelson</v>
      </c>
    </row>
    <row r="86" spans="1:1" x14ac:dyDescent="0.25">
      <c r="A86" t="str">
        <f>'Medical History'!E86</f>
        <v>B Hoffman</v>
      </c>
    </row>
    <row r="87" spans="1:1" x14ac:dyDescent="0.25">
      <c r="A87" t="str">
        <f>'Medical History'!E87</f>
        <v>J Gross</v>
      </c>
    </row>
    <row r="88" spans="1:1" x14ac:dyDescent="0.25">
      <c r="A88" t="str">
        <f>'Medical History'!E88</f>
        <v>C Carreira</v>
      </c>
    </row>
    <row r="89" spans="1:1" x14ac:dyDescent="0.25">
      <c r="A89" t="str">
        <f>'Medical History'!E89</f>
        <v>C Cortes</v>
      </c>
    </row>
    <row r="90" spans="1:1" x14ac:dyDescent="0.25">
      <c r="A90" t="str">
        <f>'Medical History'!E90</f>
        <v>T Swint</v>
      </c>
    </row>
    <row r="91" spans="1:1" x14ac:dyDescent="0.25">
      <c r="A91" t="str">
        <f>'Medical History'!E91</f>
        <v>A Avila</v>
      </c>
    </row>
    <row r="92" spans="1:1" x14ac:dyDescent="0.25">
      <c r="A92" t="str">
        <f>'Medical History'!E92</f>
        <v>M Granlund</v>
      </c>
    </row>
    <row r="93" spans="1:1" x14ac:dyDescent="0.25">
      <c r="A93" t="str">
        <f>'Medical History'!E93</f>
        <v>R Ferguson</v>
      </c>
    </row>
    <row r="94" spans="1:1" x14ac:dyDescent="0.25">
      <c r="A94" t="str">
        <f>'Medical History'!E94</f>
        <v>R Duston</v>
      </c>
    </row>
    <row r="95" spans="1:1" x14ac:dyDescent="0.25">
      <c r="A95" t="str">
        <f>'Medical History'!E95</f>
        <v>E McCrary</v>
      </c>
    </row>
    <row r="96" spans="1:1" x14ac:dyDescent="0.25">
      <c r="A96" t="str">
        <f>'Medical History'!E96</f>
        <v>R Williams</v>
      </c>
    </row>
    <row r="97" spans="1:1" x14ac:dyDescent="0.25">
      <c r="A97" t="str">
        <f>'Medical History'!E97</f>
        <v>J Barnett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E094793-B738-4B2A-B650-F06AD845D9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Medical History</vt:lpstr>
      <vt:lpstr>Dashboard Data</vt:lpstr>
      <vt:lpstr>Dashboard</vt:lpstr>
      <vt:lpstr>Patient 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sharma</dc:creator>
  <cp:lastModifiedBy>Nitin sharma</cp:lastModifiedBy>
  <dcterms:created xsi:type="dcterms:W3CDTF">2026-05-26T05:08:33Z</dcterms:created>
  <dcterms:modified xsi:type="dcterms:W3CDTF">2026-05-27T07:17:18Z</dcterms:modified>
</cp:coreProperties>
</file>